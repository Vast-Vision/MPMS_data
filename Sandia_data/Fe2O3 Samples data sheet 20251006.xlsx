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inpillars/Desktop/BAE Systems/"/>
    </mc:Choice>
  </mc:AlternateContent>
  <xr:revisionPtr revIDLastSave="0" documentId="8_{057485C4-D879-BB43-8A56-AE6A05D002E1}" xr6:coauthVersionLast="47" xr6:coauthVersionMax="47" xr10:uidLastSave="{00000000-0000-0000-0000-000000000000}"/>
  <bookViews>
    <workbookView xWindow="-120" yWindow="760" windowWidth="29040" windowHeight="17520" xr2:uid="{0DACCDA2-2B90-48CC-AA88-454AD862783D}"/>
  </bookViews>
  <sheets>
    <sheet name="sample info summary" sheetId="1" r:id="rId1"/>
    <sheet name="Glass Substrate" sheetId="2" r:id="rId2"/>
    <sheet name="#1" sheetId="3" r:id="rId3"/>
    <sheet name="#2" sheetId="4" r:id="rId4"/>
    <sheet name="#3" sheetId="5" r:id="rId5"/>
    <sheet name="#4" sheetId="6" r:id="rId6"/>
    <sheet name="#5" sheetId="7" r:id="rId7"/>
    <sheet name="#6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7" i="8" l="1"/>
  <c r="F257" i="8"/>
  <c r="G256" i="8"/>
  <c r="F256" i="8"/>
  <c r="G255" i="8"/>
  <c r="F255" i="8"/>
  <c r="G254" i="8"/>
  <c r="F254" i="8"/>
  <c r="G253" i="8"/>
  <c r="F253" i="8"/>
  <c r="G252" i="8"/>
  <c r="F252" i="8"/>
  <c r="G251" i="8"/>
  <c r="F251" i="8"/>
  <c r="G250" i="8"/>
  <c r="F250" i="8"/>
  <c r="G249" i="8"/>
  <c r="F249" i="8"/>
  <c r="G248" i="8"/>
  <c r="F248" i="8"/>
  <c r="G247" i="8"/>
  <c r="F247" i="8"/>
  <c r="G246" i="8"/>
  <c r="F246" i="8"/>
  <c r="G245" i="8"/>
  <c r="F245" i="8"/>
  <c r="G244" i="8"/>
  <c r="F244" i="8"/>
  <c r="G243" i="8"/>
  <c r="F243" i="8"/>
  <c r="G242" i="8"/>
  <c r="F242" i="8"/>
  <c r="G241" i="8"/>
  <c r="F241" i="8"/>
  <c r="G240" i="8"/>
  <c r="F240" i="8"/>
  <c r="G239" i="8"/>
  <c r="F239" i="8"/>
  <c r="G238" i="8"/>
  <c r="F238" i="8"/>
  <c r="G237" i="8"/>
  <c r="F237" i="8"/>
  <c r="G236" i="8"/>
  <c r="F236" i="8"/>
  <c r="G235" i="8"/>
  <c r="F235" i="8"/>
  <c r="G234" i="8"/>
  <c r="F234" i="8"/>
  <c r="G233" i="8"/>
  <c r="F233" i="8"/>
  <c r="G232" i="8"/>
  <c r="F232" i="8"/>
  <c r="G231" i="8"/>
  <c r="F231" i="8"/>
  <c r="G230" i="8"/>
  <c r="F230" i="8"/>
  <c r="G229" i="8"/>
  <c r="F229" i="8"/>
  <c r="G228" i="8"/>
  <c r="F228" i="8"/>
  <c r="G227" i="8"/>
  <c r="F227" i="8"/>
  <c r="G226" i="8"/>
  <c r="F226" i="8"/>
  <c r="G225" i="8"/>
  <c r="F225" i="8"/>
  <c r="G224" i="8"/>
  <c r="F224" i="8"/>
  <c r="G223" i="8"/>
  <c r="F223" i="8"/>
  <c r="G222" i="8"/>
  <c r="F222" i="8"/>
  <c r="G221" i="8"/>
  <c r="F221" i="8"/>
  <c r="G220" i="8"/>
  <c r="F220" i="8"/>
  <c r="G219" i="8"/>
  <c r="F219" i="8"/>
  <c r="G218" i="8"/>
  <c r="F218" i="8"/>
  <c r="G217" i="8"/>
  <c r="F217" i="8"/>
  <c r="G216" i="8"/>
  <c r="F216" i="8"/>
  <c r="G215" i="8"/>
  <c r="F215" i="8"/>
  <c r="G214" i="8"/>
  <c r="F214" i="8"/>
  <c r="G213" i="8"/>
  <c r="F213" i="8"/>
  <c r="G212" i="8"/>
  <c r="F212" i="8"/>
  <c r="G211" i="8"/>
  <c r="F211" i="8"/>
  <c r="G210" i="8"/>
  <c r="F210" i="8"/>
  <c r="G209" i="8"/>
  <c r="F209" i="8"/>
  <c r="G208" i="8"/>
  <c r="F208" i="8"/>
  <c r="G207" i="8"/>
  <c r="F207" i="8"/>
  <c r="G206" i="8"/>
  <c r="F206" i="8"/>
  <c r="G205" i="8"/>
  <c r="F205" i="8"/>
  <c r="G204" i="8"/>
  <c r="F204" i="8"/>
  <c r="G203" i="8"/>
  <c r="F203" i="8"/>
  <c r="G202" i="8"/>
  <c r="F202" i="8"/>
  <c r="G201" i="8"/>
  <c r="F201" i="8"/>
  <c r="G200" i="8"/>
  <c r="F200" i="8"/>
  <c r="G199" i="8"/>
  <c r="F199" i="8"/>
  <c r="G198" i="8"/>
  <c r="F198" i="8"/>
  <c r="G197" i="8"/>
  <c r="F197" i="8"/>
  <c r="G196" i="8"/>
  <c r="F196" i="8"/>
  <c r="G195" i="8"/>
  <c r="F195" i="8"/>
  <c r="G194" i="8"/>
  <c r="F194" i="8"/>
  <c r="G193" i="8"/>
  <c r="F193" i="8"/>
  <c r="G192" i="8"/>
  <c r="F192" i="8"/>
  <c r="G191" i="8"/>
  <c r="F191" i="8"/>
  <c r="G190" i="8"/>
  <c r="F190" i="8"/>
  <c r="G189" i="8"/>
  <c r="F189" i="8"/>
  <c r="G188" i="8"/>
  <c r="F188" i="8"/>
  <c r="G187" i="8"/>
  <c r="F187" i="8"/>
  <c r="G186" i="8"/>
  <c r="F186" i="8"/>
  <c r="G185" i="8"/>
  <c r="F185" i="8"/>
  <c r="G184" i="8"/>
  <c r="F184" i="8"/>
  <c r="G183" i="8"/>
  <c r="F183" i="8"/>
  <c r="G182" i="8"/>
  <c r="F182" i="8"/>
  <c r="G181" i="8"/>
  <c r="F181" i="8"/>
  <c r="G180" i="8"/>
  <c r="F180" i="8"/>
  <c r="G179" i="8"/>
  <c r="F179" i="8"/>
  <c r="G178" i="8"/>
  <c r="F178" i="8"/>
  <c r="G177" i="8"/>
  <c r="F177" i="8"/>
  <c r="G176" i="8"/>
  <c r="F176" i="8"/>
  <c r="G175" i="8"/>
  <c r="F175" i="8"/>
  <c r="G174" i="8"/>
  <c r="F174" i="8"/>
  <c r="G173" i="8"/>
  <c r="F173" i="8"/>
  <c r="G172" i="8"/>
  <c r="F172" i="8"/>
  <c r="G171" i="8"/>
  <c r="F171" i="8"/>
  <c r="G170" i="8"/>
  <c r="F170" i="8"/>
  <c r="G169" i="8"/>
  <c r="F169" i="8"/>
  <c r="G168" i="8"/>
  <c r="F168" i="8"/>
  <c r="G167" i="8"/>
  <c r="F167" i="8"/>
  <c r="G166" i="8"/>
  <c r="F166" i="8"/>
  <c r="G165" i="8"/>
  <c r="F165" i="8"/>
  <c r="G164" i="8"/>
  <c r="F164" i="8"/>
  <c r="G163" i="8"/>
  <c r="F163" i="8"/>
  <c r="G162" i="8"/>
  <c r="F162" i="8"/>
  <c r="G161" i="8"/>
  <c r="F161" i="8"/>
  <c r="G160" i="8"/>
  <c r="F160" i="8"/>
  <c r="G159" i="8"/>
  <c r="F159" i="8"/>
  <c r="G158" i="8"/>
  <c r="F158" i="8"/>
  <c r="G157" i="8"/>
  <c r="F157" i="8"/>
  <c r="G156" i="8"/>
  <c r="F156" i="8"/>
  <c r="G155" i="8"/>
  <c r="F155" i="8"/>
  <c r="G154" i="8"/>
  <c r="F154" i="8"/>
  <c r="G153" i="8"/>
  <c r="F153" i="8"/>
  <c r="G152" i="8"/>
  <c r="F152" i="8"/>
  <c r="G151" i="8"/>
  <c r="F151" i="8"/>
  <c r="G150" i="8"/>
  <c r="F150" i="8"/>
  <c r="G149" i="8"/>
  <c r="F149" i="8"/>
  <c r="G148" i="8"/>
  <c r="F148" i="8"/>
  <c r="G147" i="8"/>
  <c r="F147" i="8"/>
  <c r="G146" i="8"/>
  <c r="F146" i="8"/>
  <c r="G145" i="8"/>
  <c r="F145" i="8"/>
  <c r="G144" i="8"/>
  <c r="F144" i="8"/>
  <c r="G143" i="8"/>
  <c r="F143" i="8"/>
  <c r="G142" i="8"/>
  <c r="F142" i="8"/>
  <c r="G141" i="8"/>
  <c r="F141" i="8"/>
  <c r="G140" i="8"/>
  <c r="F140" i="8"/>
  <c r="G139" i="8"/>
  <c r="F139" i="8"/>
  <c r="G138" i="8"/>
  <c r="F138" i="8"/>
  <c r="G137" i="8"/>
  <c r="F137" i="8"/>
  <c r="G136" i="8"/>
  <c r="F136" i="8"/>
  <c r="G135" i="8"/>
  <c r="F135" i="8"/>
  <c r="G134" i="8"/>
  <c r="F134" i="8"/>
  <c r="G133" i="8"/>
  <c r="F133" i="8"/>
  <c r="G132" i="8"/>
  <c r="F132" i="8"/>
  <c r="G131" i="8"/>
  <c r="F131" i="8"/>
  <c r="G130" i="8"/>
  <c r="F130" i="8"/>
  <c r="G129" i="8"/>
  <c r="F129" i="8"/>
  <c r="G128" i="8"/>
  <c r="F128" i="8"/>
  <c r="G127" i="8"/>
  <c r="F127" i="8"/>
  <c r="G126" i="8"/>
  <c r="F126" i="8"/>
  <c r="G125" i="8"/>
  <c r="F125" i="8"/>
  <c r="G124" i="8"/>
  <c r="F124" i="8"/>
  <c r="G123" i="8"/>
  <c r="F123" i="8"/>
  <c r="G122" i="8"/>
  <c r="F122" i="8"/>
  <c r="G121" i="8"/>
  <c r="F121" i="8"/>
  <c r="G120" i="8"/>
  <c r="F120" i="8"/>
  <c r="G119" i="8"/>
  <c r="F119" i="8"/>
  <c r="G118" i="8"/>
  <c r="F118" i="8"/>
  <c r="G117" i="8"/>
  <c r="F117" i="8"/>
  <c r="G116" i="8"/>
  <c r="F116" i="8"/>
  <c r="G115" i="8"/>
  <c r="F115" i="8"/>
  <c r="G114" i="8"/>
  <c r="F114" i="8"/>
  <c r="G113" i="8"/>
  <c r="F113" i="8"/>
  <c r="G112" i="8"/>
  <c r="F112" i="8"/>
  <c r="G111" i="8"/>
  <c r="F111" i="8"/>
  <c r="G110" i="8"/>
  <c r="F110" i="8"/>
  <c r="G109" i="8"/>
  <c r="F109" i="8"/>
  <c r="G108" i="8"/>
  <c r="F108" i="8"/>
  <c r="G107" i="8"/>
  <c r="F107" i="8"/>
  <c r="G106" i="8"/>
  <c r="F106" i="8"/>
  <c r="G105" i="8"/>
  <c r="F105" i="8"/>
  <c r="G104" i="8"/>
  <c r="F104" i="8"/>
  <c r="G103" i="8"/>
  <c r="F103" i="8"/>
  <c r="G102" i="8"/>
  <c r="F102" i="8"/>
  <c r="G101" i="8"/>
  <c r="F101" i="8"/>
  <c r="G100" i="8"/>
  <c r="F100" i="8"/>
  <c r="G99" i="8"/>
  <c r="F99" i="8"/>
  <c r="G98" i="8"/>
  <c r="F98" i="8"/>
  <c r="G97" i="8"/>
  <c r="F97" i="8"/>
  <c r="G96" i="8"/>
  <c r="F96" i="8"/>
  <c r="G95" i="8"/>
  <c r="F95" i="8"/>
  <c r="G94" i="8"/>
  <c r="F94" i="8"/>
  <c r="G93" i="8"/>
  <c r="F93" i="8"/>
  <c r="G92" i="8"/>
  <c r="F92" i="8"/>
  <c r="G91" i="8"/>
  <c r="F91" i="8"/>
  <c r="G90" i="8"/>
  <c r="F90" i="8"/>
  <c r="G89" i="8"/>
  <c r="F89" i="8"/>
  <c r="G88" i="8"/>
  <c r="F88" i="8"/>
  <c r="G87" i="8"/>
  <c r="F87" i="8"/>
  <c r="G86" i="8"/>
  <c r="F86" i="8"/>
  <c r="G85" i="8"/>
  <c r="F85" i="8"/>
  <c r="G84" i="8"/>
  <c r="F84" i="8"/>
  <c r="G83" i="8"/>
  <c r="F83" i="8"/>
  <c r="G82" i="8"/>
  <c r="F82" i="8"/>
  <c r="G81" i="8"/>
  <c r="F81" i="8"/>
  <c r="G80" i="8"/>
  <c r="F80" i="8"/>
  <c r="G79" i="8"/>
  <c r="F79" i="8"/>
  <c r="G78" i="8"/>
  <c r="F78" i="8"/>
  <c r="G77" i="8"/>
  <c r="F77" i="8"/>
  <c r="G76" i="8"/>
  <c r="F76" i="8"/>
  <c r="G75" i="8"/>
  <c r="F75" i="8"/>
  <c r="G74" i="8"/>
  <c r="F74" i="8"/>
  <c r="G73" i="8"/>
  <c r="F73" i="8"/>
  <c r="G72" i="8"/>
  <c r="F72" i="8"/>
  <c r="G71" i="8"/>
  <c r="F71" i="8"/>
  <c r="G70" i="8"/>
  <c r="F70" i="8"/>
  <c r="G69" i="8"/>
  <c r="F69" i="8"/>
  <c r="G68" i="8"/>
  <c r="F68" i="8"/>
  <c r="G67" i="8"/>
  <c r="F67" i="8"/>
  <c r="G66" i="8"/>
  <c r="F66" i="8"/>
  <c r="G65" i="8"/>
  <c r="F65" i="8"/>
  <c r="G64" i="8"/>
  <c r="F64" i="8"/>
  <c r="G63" i="8"/>
  <c r="F63" i="8"/>
  <c r="G62" i="8"/>
  <c r="F62" i="8"/>
  <c r="G61" i="8"/>
  <c r="F61" i="8"/>
  <c r="G60" i="8"/>
  <c r="F60" i="8"/>
  <c r="G59" i="8"/>
  <c r="F59" i="8"/>
  <c r="G58" i="8"/>
  <c r="F58" i="8"/>
  <c r="G57" i="8"/>
  <c r="F57" i="8"/>
  <c r="G56" i="8"/>
  <c r="F56" i="8"/>
  <c r="G55" i="8"/>
  <c r="F55" i="8"/>
  <c r="G54" i="8"/>
  <c r="F54" i="8"/>
  <c r="G53" i="8"/>
  <c r="F53" i="8"/>
  <c r="G52" i="8"/>
  <c r="F52" i="8"/>
  <c r="G51" i="8"/>
  <c r="F51" i="8"/>
  <c r="G50" i="8"/>
  <c r="F50" i="8"/>
  <c r="G49" i="8"/>
  <c r="F49" i="8"/>
  <c r="G48" i="8"/>
  <c r="F48" i="8"/>
  <c r="G47" i="8"/>
  <c r="F47" i="8"/>
  <c r="G46" i="8"/>
  <c r="F46" i="8"/>
  <c r="G45" i="8"/>
  <c r="F45" i="8"/>
  <c r="G44" i="8"/>
  <c r="F44" i="8"/>
  <c r="G43" i="8"/>
  <c r="F43" i="8"/>
  <c r="G42" i="8"/>
  <c r="F42" i="8"/>
  <c r="G41" i="8"/>
  <c r="F41" i="8"/>
  <c r="G40" i="8"/>
  <c r="F40" i="8"/>
  <c r="G39" i="8"/>
  <c r="F39" i="8"/>
  <c r="G38" i="8"/>
  <c r="F38" i="8"/>
  <c r="G37" i="8"/>
  <c r="F37" i="8"/>
  <c r="G36" i="8"/>
  <c r="F36" i="8"/>
  <c r="G35" i="8"/>
  <c r="F35" i="8"/>
  <c r="G34" i="8"/>
  <c r="F34" i="8"/>
  <c r="G33" i="8"/>
  <c r="F33" i="8"/>
  <c r="G32" i="8"/>
  <c r="F32" i="8"/>
  <c r="G31" i="8"/>
  <c r="F31" i="8"/>
  <c r="G30" i="8"/>
  <c r="F30" i="8"/>
  <c r="G29" i="8"/>
  <c r="F29" i="8"/>
  <c r="G28" i="8"/>
  <c r="F28" i="8"/>
  <c r="G27" i="8"/>
  <c r="F27" i="8"/>
  <c r="G26" i="8"/>
  <c r="F26" i="8"/>
  <c r="G25" i="8"/>
  <c r="F25" i="8"/>
  <c r="G24" i="8"/>
  <c r="F24" i="8"/>
  <c r="G23" i="8"/>
  <c r="F23" i="8"/>
  <c r="G22" i="8"/>
  <c r="F22" i="8"/>
  <c r="G21" i="8"/>
  <c r="F21" i="8"/>
  <c r="G20" i="8"/>
  <c r="F20" i="8"/>
  <c r="G19" i="8"/>
  <c r="F19" i="8"/>
  <c r="G18" i="8"/>
  <c r="F18" i="8"/>
  <c r="G17" i="8"/>
  <c r="F17" i="8"/>
  <c r="G16" i="8"/>
  <c r="F16" i="8"/>
  <c r="G15" i="8"/>
  <c r="F15" i="8"/>
  <c r="G14" i="8"/>
  <c r="F14" i="8"/>
  <c r="G13" i="8"/>
  <c r="F13" i="8"/>
  <c r="G12" i="8"/>
  <c r="F12" i="8"/>
  <c r="G11" i="8"/>
  <c r="F11" i="8"/>
  <c r="G10" i="8"/>
  <c r="F10" i="8"/>
  <c r="G9" i="8"/>
  <c r="F9" i="8"/>
  <c r="G257" i="7"/>
  <c r="F257" i="7"/>
  <c r="G256" i="7"/>
  <c r="F256" i="7"/>
  <c r="G255" i="7"/>
  <c r="F255" i="7"/>
  <c r="G254" i="7"/>
  <c r="F254" i="7"/>
  <c r="G253" i="7"/>
  <c r="F253" i="7"/>
  <c r="G252" i="7"/>
  <c r="F252" i="7"/>
  <c r="G251" i="7"/>
  <c r="F251" i="7"/>
  <c r="G250" i="7"/>
  <c r="F250" i="7"/>
  <c r="G249" i="7"/>
  <c r="F249" i="7"/>
  <c r="G248" i="7"/>
  <c r="F248" i="7"/>
  <c r="G247" i="7"/>
  <c r="F247" i="7"/>
  <c r="G246" i="7"/>
  <c r="F246" i="7"/>
  <c r="G245" i="7"/>
  <c r="F245" i="7"/>
  <c r="G244" i="7"/>
  <c r="F244" i="7"/>
  <c r="G243" i="7"/>
  <c r="F243" i="7"/>
  <c r="G242" i="7"/>
  <c r="F242" i="7"/>
  <c r="G241" i="7"/>
  <c r="F241" i="7"/>
  <c r="G240" i="7"/>
  <c r="F240" i="7"/>
  <c r="G239" i="7"/>
  <c r="F239" i="7"/>
  <c r="G238" i="7"/>
  <c r="F238" i="7"/>
  <c r="G237" i="7"/>
  <c r="F237" i="7"/>
  <c r="G236" i="7"/>
  <c r="F236" i="7"/>
  <c r="G235" i="7"/>
  <c r="F235" i="7"/>
  <c r="G234" i="7"/>
  <c r="F234" i="7"/>
  <c r="G233" i="7"/>
  <c r="F233" i="7"/>
  <c r="G232" i="7"/>
  <c r="F232" i="7"/>
  <c r="G231" i="7"/>
  <c r="F231" i="7"/>
  <c r="G230" i="7"/>
  <c r="F230" i="7"/>
  <c r="G229" i="7"/>
  <c r="F229" i="7"/>
  <c r="G228" i="7"/>
  <c r="F228" i="7"/>
  <c r="G227" i="7"/>
  <c r="F227" i="7"/>
  <c r="G226" i="7"/>
  <c r="F226" i="7"/>
  <c r="G225" i="7"/>
  <c r="F225" i="7"/>
  <c r="G224" i="7"/>
  <c r="F224" i="7"/>
  <c r="G223" i="7"/>
  <c r="F223" i="7"/>
  <c r="G222" i="7"/>
  <c r="F222" i="7"/>
  <c r="G221" i="7"/>
  <c r="F221" i="7"/>
  <c r="G220" i="7"/>
  <c r="F220" i="7"/>
  <c r="G219" i="7"/>
  <c r="F219" i="7"/>
  <c r="G218" i="7"/>
  <c r="F218" i="7"/>
  <c r="G217" i="7"/>
  <c r="F217" i="7"/>
  <c r="G216" i="7"/>
  <c r="F216" i="7"/>
  <c r="G215" i="7"/>
  <c r="F215" i="7"/>
  <c r="G214" i="7"/>
  <c r="F214" i="7"/>
  <c r="G213" i="7"/>
  <c r="F213" i="7"/>
  <c r="G212" i="7"/>
  <c r="F212" i="7"/>
  <c r="G211" i="7"/>
  <c r="F211" i="7"/>
  <c r="G210" i="7"/>
  <c r="F210" i="7"/>
  <c r="G209" i="7"/>
  <c r="F209" i="7"/>
  <c r="G208" i="7"/>
  <c r="F208" i="7"/>
  <c r="G207" i="7"/>
  <c r="F207" i="7"/>
  <c r="G206" i="7"/>
  <c r="F206" i="7"/>
  <c r="G205" i="7"/>
  <c r="F205" i="7"/>
  <c r="G204" i="7"/>
  <c r="F204" i="7"/>
  <c r="G203" i="7"/>
  <c r="F203" i="7"/>
  <c r="G202" i="7"/>
  <c r="F202" i="7"/>
  <c r="G201" i="7"/>
  <c r="F201" i="7"/>
  <c r="G200" i="7"/>
  <c r="F200" i="7"/>
  <c r="G199" i="7"/>
  <c r="F199" i="7"/>
  <c r="G198" i="7"/>
  <c r="F198" i="7"/>
  <c r="G197" i="7"/>
  <c r="F197" i="7"/>
  <c r="G196" i="7"/>
  <c r="F196" i="7"/>
  <c r="G195" i="7"/>
  <c r="F195" i="7"/>
  <c r="G194" i="7"/>
  <c r="F194" i="7"/>
  <c r="G193" i="7"/>
  <c r="F193" i="7"/>
  <c r="G192" i="7"/>
  <c r="F192" i="7"/>
  <c r="G191" i="7"/>
  <c r="F191" i="7"/>
  <c r="G190" i="7"/>
  <c r="F190" i="7"/>
  <c r="G189" i="7"/>
  <c r="F189" i="7"/>
  <c r="G188" i="7"/>
  <c r="F188" i="7"/>
  <c r="G187" i="7"/>
  <c r="F187" i="7"/>
  <c r="G186" i="7"/>
  <c r="F186" i="7"/>
  <c r="G185" i="7"/>
  <c r="F185" i="7"/>
  <c r="G184" i="7"/>
  <c r="F184" i="7"/>
  <c r="G183" i="7"/>
  <c r="F183" i="7"/>
  <c r="G182" i="7"/>
  <c r="F182" i="7"/>
  <c r="G181" i="7"/>
  <c r="F181" i="7"/>
  <c r="G180" i="7"/>
  <c r="F180" i="7"/>
  <c r="G179" i="7"/>
  <c r="F179" i="7"/>
  <c r="G178" i="7"/>
  <c r="F178" i="7"/>
  <c r="G177" i="7"/>
  <c r="F177" i="7"/>
  <c r="G176" i="7"/>
  <c r="F176" i="7"/>
  <c r="G175" i="7"/>
  <c r="F175" i="7"/>
  <c r="G174" i="7"/>
  <c r="F174" i="7"/>
  <c r="G173" i="7"/>
  <c r="F173" i="7"/>
  <c r="G172" i="7"/>
  <c r="F172" i="7"/>
  <c r="G171" i="7"/>
  <c r="F171" i="7"/>
  <c r="G170" i="7"/>
  <c r="F170" i="7"/>
  <c r="G169" i="7"/>
  <c r="F169" i="7"/>
  <c r="G168" i="7"/>
  <c r="F168" i="7"/>
  <c r="G167" i="7"/>
  <c r="F167" i="7"/>
  <c r="G166" i="7"/>
  <c r="F166" i="7"/>
  <c r="G165" i="7"/>
  <c r="F165" i="7"/>
  <c r="G164" i="7"/>
  <c r="F164" i="7"/>
  <c r="G163" i="7"/>
  <c r="F163" i="7"/>
  <c r="G162" i="7"/>
  <c r="F162" i="7"/>
  <c r="G161" i="7"/>
  <c r="F161" i="7"/>
  <c r="G160" i="7"/>
  <c r="F160" i="7"/>
  <c r="G159" i="7"/>
  <c r="F159" i="7"/>
  <c r="G158" i="7"/>
  <c r="F158" i="7"/>
  <c r="G157" i="7"/>
  <c r="F157" i="7"/>
  <c r="G156" i="7"/>
  <c r="F156" i="7"/>
  <c r="G155" i="7"/>
  <c r="F155" i="7"/>
  <c r="G154" i="7"/>
  <c r="F154" i="7"/>
  <c r="G153" i="7"/>
  <c r="F153" i="7"/>
  <c r="G152" i="7"/>
  <c r="F152" i="7"/>
  <c r="G151" i="7"/>
  <c r="F151" i="7"/>
  <c r="G150" i="7"/>
  <c r="F150" i="7"/>
  <c r="G149" i="7"/>
  <c r="F149" i="7"/>
  <c r="G148" i="7"/>
  <c r="F148" i="7"/>
  <c r="G147" i="7"/>
  <c r="F147" i="7"/>
  <c r="G146" i="7"/>
  <c r="F146" i="7"/>
  <c r="G145" i="7"/>
  <c r="F145" i="7"/>
  <c r="G144" i="7"/>
  <c r="F144" i="7"/>
  <c r="G143" i="7"/>
  <c r="F143" i="7"/>
  <c r="G142" i="7"/>
  <c r="F142" i="7"/>
  <c r="G141" i="7"/>
  <c r="F141" i="7"/>
  <c r="G140" i="7"/>
  <c r="F140" i="7"/>
  <c r="G139" i="7"/>
  <c r="F139" i="7"/>
  <c r="G138" i="7"/>
  <c r="F138" i="7"/>
  <c r="G137" i="7"/>
  <c r="F137" i="7"/>
  <c r="G136" i="7"/>
  <c r="F136" i="7"/>
  <c r="G135" i="7"/>
  <c r="F135" i="7"/>
  <c r="G134" i="7"/>
  <c r="F134" i="7"/>
  <c r="G133" i="7"/>
  <c r="F133" i="7"/>
  <c r="G132" i="7"/>
  <c r="F132" i="7"/>
  <c r="G131" i="7"/>
  <c r="F131" i="7"/>
  <c r="G130" i="7"/>
  <c r="F130" i="7"/>
  <c r="G129" i="7"/>
  <c r="F129" i="7"/>
  <c r="G128" i="7"/>
  <c r="F128" i="7"/>
  <c r="G127" i="7"/>
  <c r="F127" i="7"/>
  <c r="G126" i="7"/>
  <c r="F126" i="7"/>
  <c r="G125" i="7"/>
  <c r="F125" i="7"/>
  <c r="G124" i="7"/>
  <c r="F124" i="7"/>
  <c r="G123" i="7"/>
  <c r="F123" i="7"/>
  <c r="G122" i="7"/>
  <c r="F122" i="7"/>
  <c r="G121" i="7"/>
  <c r="F121" i="7"/>
  <c r="G120" i="7"/>
  <c r="F120" i="7"/>
  <c r="G119" i="7"/>
  <c r="F119" i="7"/>
  <c r="G118" i="7"/>
  <c r="F118" i="7"/>
  <c r="G117" i="7"/>
  <c r="F117" i="7"/>
  <c r="G116" i="7"/>
  <c r="F116" i="7"/>
  <c r="G115" i="7"/>
  <c r="F115" i="7"/>
  <c r="G114" i="7"/>
  <c r="F114" i="7"/>
  <c r="G113" i="7"/>
  <c r="F113" i="7"/>
  <c r="G112" i="7"/>
  <c r="F112" i="7"/>
  <c r="G111" i="7"/>
  <c r="F111" i="7"/>
  <c r="G110" i="7"/>
  <c r="F110" i="7"/>
  <c r="G109" i="7"/>
  <c r="F109" i="7"/>
  <c r="G108" i="7"/>
  <c r="F108" i="7"/>
  <c r="G107" i="7"/>
  <c r="F107" i="7"/>
  <c r="G106" i="7"/>
  <c r="F106" i="7"/>
  <c r="G105" i="7"/>
  <c r="F105" i="7"/>
  <c r="G104" i="7"/>
  <c r="F104" i="7"/>
  <c r="G103" i="7"/>
  <c r="F103" i="7"/>
  <c r="G102" i="7"/>
  <c r="F102" i="7"/>
  <c r="G101" i="7"/>
  <c r="F101" i="7"/>
  <c r="G100" i="7"/>
  <c r="F100" i="7"/>
  <c r="G99" i="7"/>
  <c r="F99" i="7"/>
  <c r="G98" i="7"/>
  <c r="F98" i="7"/>
  <c r="G97" i="7"/>
  <c r="F97" i="7"/>
  <c r="G96" i="7"/>
  <c r="F96" i="7"/>
  <c r="G95" i="7"/>
  <c r="F95" i="7"/>
  <c r="G94" i="7"/>
  <c r="F94" i="7"/>
  <c r="G93" i="7"/>
  <c r="F93" i="7"/>
  <c r="G92" i="7"/>
  <c r="F92" i="7"/>
  <c r="G91" i="7"/>
  <c r="F91" i="7"/>
  <c r="G90" i="7"/>
  <c r="F90" i="7"/>
  <c r="G89" i="7"/>
  <c r="F89" i="7"/>
  <c r="G88" i="7"/>
  <c r="F88" i="7"/>
  <c r="G87" i="7"/>
  <c r="F87" i="7"/>
  <c r="G86" i="7"/>
  <c r="F86" i="7"/>
  <c r="G85" i="7"/>
  <c r="F85" i="7"/>
  <c r="G84" i="7"/>
  <c r="F84" i="7"/>
  <c r="G83" i="7"/>
  <c r="F83" i="7"/>
  <c r="G82" i="7"/>
  <c r="F82" i="7"/>
  <c r="G81" i="7"/>
  <c r="F81" i="7"/>
  <c r="G80" i="7"/>
  <c r="F80" i="7"/>
  <c r="G79" i="7"/>
  <c r="F79" i="7"/>
  <c r="G78" i="7"/>
  <c r="F78" i="7"/>
  <c r="G77" i="7"/>
  <c r="F77" i="7"/>
  <c r="G76" i="7"/>
  <c r="F76" i="7"/>
  <c r="G75" i="7"/>
  <c r="F75" i="7"/>
  <c r="G74" i="7"/>
  <c r="F74" i="7"/>
  <c r="G73" i="7"/>
  <c r="F73" i="7"/>
  <c r="G72" i="7"/>
  <c r="F72" i="7"/>
  <c r="G71" i="7"/>
  <c r="F71" i="7"/>
  <c r="G70" i="7"/>
  <c r="F70" i="7"/>
  <c r="G69" i="7"/>
  <c r="F69" i="7"/>
  <c r="G68" i="7"/>
  <c r="F68" i="7"/>
  <c r="G67" i="7"/>
  <c r="F67" i="7"/>
  <c r="G66" i="7"/>
  <c r="F66" i="7"/>
  <c r="G65" i="7"/>
  <c r="F65" i="7"/>
  <c r="G64" i="7"/>
  <c r="F64" i="7"/>
  <c r="G63" i="7"/>
  <c r="F63" i="7"/>
  <c r="G62" i="7"/>
  <c r="F62" i="7"/>
  <c r="G61" i="7"/>
  <c r="F61" i="7"/>
  <c r="G60" i="7"/>
  <c r="F60" i="7"/>
  <c r="G59" i="7"/>
  <c r="F59" i="7"/>
  <c r="G58" i="7"/>
  <c r="F58" i="7"/>
  <c r="G57" i="7"/>
  <c r="F57" i="7"/>
  <c r="G56" i="7"/>
  <c r="F56" i="7"/>
  <c r="G55" i="7"/>
  <c r="F55" i="7"/>
  <c r="G54" i="7"/>
  <c r="F54" i="7"/>
  <c r="G53" i="7"/>
  <c r="F53" i="7"/>
  <c r="G52" i="7"/>
  <c r="F52" i="7"/>
  <c r="G51" i="7"/>
  <c r="F51" i="7"/>
  <c r="G50" i="7"/>
  <c r="F50" i="7"/>
  <c r="G49" i="7"/>
  <c r="F49" i="7"/>
  <c r="G48" i="7"/>
  <c r="F48" i="7"/>
  <c r="G47" i="7"/>
  <c r="F47" i="7"/>
  <c r="G46" i="7"/>
  <c r="F46" i="7"/>
  <c r="G45" i="7"/>
  <c r="F45" i="7"/>
  <c r="G44" i="7"/>
  <c r="F44" i="7"/>
  <c r="G43" i="7"/>
  <c r="F43" i="7"/>
  <c r="G42" i="7"/>
  <c r="F42" i="7"/>
  <c r="G41" i="7"/>
  <c r="F41" i="7"/>
  <c r="G40" i="7"/>
  <c r="F40" i="7"/>
  <c r="G39" i="7"/>
  <c r="F39" i="7"/>
  <c r="G38" i="7"/>
  <c r="F38" i="7"/>
  <c r="G37" i="7"/>
  <c r="F37" i="7"/>
  <c r="G36" i="7"/>
  <c r="F36" i="7"/>
  <c r="G35" i="7"/>
  <c r="F35" i="7"/>
  <c r="G34" i="7"/>
  <c r="F34" i="7"/>
  <c r="G33" i="7"/>
  <c r="F33" i="7"/>
  <c r="G32" i="7"/>
  <c r="F32" i="7"/>
  <c r="G31" i="7"/>
  <c r="F31" i="7"/>
  <c r="G30" i="7"/>
  <c r="F30" i="7"/>
  <c r="G29" i="7"/>
  <c r="F29" i="7"/>
  <c r="G28" i="7"/>
  <c r="F28" i="7"/>
  <c r="G27" i="7"/>
  <c r="F27" i="7"/>
  <c r="G26" i="7"/>
  <c r="F26" i="7"/>
  <c r="G25" i="7"/>
  <c r="F25" i="7"/>
  <c r="G24" i="7"/>
  <c r="F24" i="7"/>
  <c r="G23" i="7"/>
  <c r="F23" i="7"/>
  <c r="G22" i="7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257" i="6"/>
  <c r="F257" i="6"/>
  <c r="G256" i="6"/>
  <c r="F256" i="6"/>
  <c r="G255" i="6"/>
  <c r="F255" i="6"/>
  <c r="G254" i="6"/>
  <c r="F254" i="6"/>
  <c r="G253" i="6"/>
  <c r="F253" i="6"/>
  <c r="G252" i="6"/>
  <c r="F252" i="6"/>
  <c r="G251" i="6"/>
  <c r="F251" i="6"/>
  <c r="G250" i="6"/>
  <c r="F250" i="6"/>
  <c r="G249" i="6"/>
  <c r="F249" i="6"/>
  <c r="G248" i="6"/>
  <c r="F248" i="6"/>
  <c r="G247" i="6"/>
  <c r="F247" i="6"/>
  <c r="G246" i="6"/>
  <c r="F246" i="6"/>
  <c r="G245" i="6"/>
  <c r="F245" i="6"/>
  <c r="G244" i="6"/>
  <c r="F244" i="6"/>
  <c r="G243" i="6"/>
  <c r="F243" i="6"/>
  <c r="G242" i="6"/>
  <c r="F242" i="6"/>
  <c r="G241" i="6"/>
  <c r="F241" i="6"/>
  <c r="G240" i="6"/>
  <c r="F240" i="6"/>
  <c r="G239" i="6"/>
  <c r="F239" i="6"/>
  <c r="G238" i="6"/>
  <c r="F238" i="6"/>
  <c r="G237" i="6"/>
  <c r="F237" i="6"/>
  <c r="G236" i="6"/>
  <c r="F236" i="6"/>
  <c r="G235" i="6"/>
  <c r="F235" i="6"/>
  <c r="G234" i="6"/>
  <c r="F234" i="6"/>
  <c r="G233" i="6"/>
  <c r="F233" i="6"/>
  <c r="G232" i="6"/>
  <c r="F232" i="6"/>
  <c r="G231" i="6"/>
  <c r="F231" i="6"/>
  <c r="G230" i="6"/>
  <c r="F230" i="6"/>
  <c r="G229" i="6"/>
  <c r="F229" i="6"/>
  <c r="G228" i="6"/>
  <c r="F228" i="6"/>
  <c r="G227" i="6"/>
  <c r="F227" i="6"/>
  <c r="G226" i="6"/>
  <c r="F226" i="6"/>
  <c r="G225" i="6"/>
  <c r="F225" i="6"/>
  <c r="G224" i="6"/>
  <c r="F224" i="6"/>
  <c r="G223" i="6"/>
  <c r="F223" i="6"/>
  <c r="G222" i="6"/>
  <c r="F222" i="6"/>
  <c r="G221" i="6"/>
  <c r="F221" i="6"/>
  <c r="G220" i="6"/>
  <c r="F220" i="6"/>
  <c r="G219" i="6"/>
  <c r="F219" i="6"/>
  <c r="G218" i="6"/>
  <c r="F218" i="6"/>
  <c r="G217" i="6"/>
  <c r="F217" i="6"/>
  <c r="G216" i="6"/>
  <c r="F216" i="6"/>
  <c r="G215" i="6"/>
  <c r="F215" i="6"/>
  <c r="G214" i="6"/>
  <c r="F214" i="6"/>
  <c r="G213" i="6"/>
  <c r="F213" i="6"/>
  <c r="G212" i="6"/>
  <c r="F212" i="6"/>
  <c r="G211" i="6"/>
  <c r="F211" i="6"/>
  <c r="G210" i="6"/>
  <c r="F210" i="6"/>
  <c r="G209" i="6"/>
  <c r="F209" i="6"/>
  <c r="G208" i="6"/>
  <c r="F208" i="6"/>
  <c r="G207" i="6"/>
  <c r="F207" i="6"/>
  <c r="G206" i="6"/>
  <c r="F206" i="6"/>
  <c r="G205" i="6"/>
  <c r="F205" i="6"/>
  <c r="G204" i="6"/>
  <c r="F204" i="6"/>
  <c r="G203" i="6"/>
  <c r="F203" i="6"/>
  <c r="G202" i="6"/>
  <c r="F202" i="6"/>
  <c r="G201" i="6"/>
  <c r="F201" i="6"/>
  <c r="G200" i="6"/>
  <c r="F200" i="6"/>
  <c r="G199" i="6"/>
  <c r="F199" i="6"/>
  <c r="G198" i="6"/>
  <c r="F198" i="6"/>
  <c r="G197" i="6"/>
  <c r="F197" i="6"/>
  <c r="G196" i="6"/>
  <c r="F196" i="6"/>
  <c r="G195" i="6"/>
  <c r="F195" i="6"/>
  <c r="G194" i="6"/>
  <c r="F194" i="6"/>
  <c r="G193" i="6"/>
  <c r="F193" i="6"/>
  <c r="G192" i="6"/>
  <c r="F192" i="6"/>
  <c r="G191" i="6"/>
  <c r="F191" i="6"/>
  <c r="G190" i="6"/>
  <c r="F190" i="6"/>
  <c r="G189" i="6"/>
  <c r="F189" i="6"/>
  <c r="G188" i="6"/>
  <c r="F188" i="6"/>
  <c r="G187" i="6"/>
  <c r="F187" i="6"/>
  <c r="G186" i="6"/>
  <c r="F186" i="6"/>
  <c r="G185" i="6"/>
  <c r="F185" i="6"/>
  <c r="G184" i="6"/>
  <c r="F184" i="6"/>
  <c r="G183" i="6"/>
  <c r="F183" i="6"/>
  <c r="G182" i="6"/>
  <c r="F182" i="6"/>
  <c r="G181" i="6"/>
  <c r="F181" i="6"/>
  <c r="G180" i="6"/>
  <c r="F180" i="6"/>
  <c r="G179" i="6"/>
  <c r="F179" i="6"/>
  <c r="G178" i="6"/>
  <c r="F178" i="6"/>
  <c r="G177" i="6"/>
  <c r="F177" i="6"/>
  <c r="G176" i="6"/>
  <c r="F176" i="6"/>
  <c r="G175" i="6"/>
  <c r="F175" i="6"/>
  <c r="G174" i="6"/>
  <c r="F174" i="6"/>
  <c r="G173" i="6"/>
  <c r="F173" i="6"/>
  <c r="G172" i="6"/>
  <c r="F172" i="6"/>
  <c r="G171" i="6"/>
  <c r="F171" i="6"/>
  <c r="G170" i="6"/>
  <c r="F170" i="6"/>
  <c r="G169" i="6"/>
  <c r="F169" i="6"/>
  <c r="G168" i="6"/>
  <c r="F168" i="6"/>
  <c r="G167" i="6"/>
  <c r="F167" i="6"/>
  <c r="G166" i="6"/>
  <c r="F166" i="6"/>
  <c r="G165" i="6"/>
  <c r="F165" i="6"/>
  <c r="G164" i="6"/>
  <c r="F164" i="6"/>
  <c r="G163" i="6"/>
  <c r="F163" i="6"/>
  <c r="G162" i="6"/>
  <c r="F162" i="6"/>
  <c r="G161" i="6"/>
  <c r="F161" i="6"/>
  <c r="G160" i="6"/>
  <c r="F160" i="6"/>
  <c r="G159" i="6"/>
  <c r="F159" i="6"/>
  <c r="G158" i="6"/>
  <c r="F158" i="6"/>
  <c r="G157" i="6"/>
  <c r="F157" i="6"/>
  <c r="G156" i="6"/>
  <c r="F156" i="6"/>
  <c r="G155" i="6"/>
  <c r="F155" i="6"/>
  <c r="G154" i="6"/>
  <c r="F154" i="6"/>
  <c r="G153" i="6"/>
  <c r="F153" i="6"/>
  <c r="G152" i="6"/>
  <c r="F152" i="6"/>
  <c r="G151" i="6"/>
  <c r="F151" i="6"/>
  <c r="G150" i="6"/>
  <c r="F150" i="6"/>
  <c r="G149" i="6"/>
  <c r="F149" i="6"/>
  <c r="G148" i="6"/>
  <c r="F148" i="6"/>
  <c r="G147" i="6"/>
  <c r="F147" i="6"/>
  <c r="G146" i="6"/>
  <c r="F146" i="6"/>
  <c r="G145" i="6"/>
  <c r="F145" i="6"/>
  <c r="G144" i="6"/>
  <c r="F144" i="6"/>
  <c r="G143" i="6"/>
  <c r="F143" i="6"/>
  <c r="G142" i="6"/>
  <c r="F142" i="6"/>
  <c r="G141" i="6"/>
  <c r="F141" i="6"/>
  <c r="G140" i="6"/>
  <c r="F140" i="6"/>
  <c r="G139" i="6"/>
  <c r="F139" i="6"/>
  <c r="G138" i="6"/>
  <c r="F138" i="6"/>
  <c r="G137" i="6"/>
  <c r="F137" i="6"/>
  <c r="G136" i="6"/>
  <c r="F136" i="6"/>
  <c r="G135" i="6"/>
  <c r="F135" i="6"/>
  <c r="G134" i="6"/>
  <c r="F134" i="6"/>
  <c r="G133" i="6"/>
  <c r="F133" i="6"/>
  <c r="G132" i="6"/>
  <c r="F132" i="6"/>
  <c r="G131" i="6"/>
  <c r="F131" i="6"/>
  <c r="G130" i="6"/>
  <c r="F130" i="6"/>
  <c r="G129" i="6"/>
  <c r="F129" i="6"/>
  <c r="G128" i="6"/>
  <c r="F128" i="6"/>
  <c r="G127" i="6"/>
  <c r="F127" i="6"/>
  <c r="G126" i="6"/>
  <c r="F126" i="6"/>
  <c r="G125" i="6"/>
  <c r="F125" i="6"/>
  <c r="G124" i="6"/>
  <c r="F124" i="6"/>
  <c r="G123" i="6"/>
  <c r="F123" i="6"/>
  <c r="G122" i="6"/>
  <c r="F122" i="6"/>
  <c r="G121" i="6"/>
  <c r="F121" i="6"/>
  <c r="G120" i="6"/>
  <c r="F120" i="6"/>
  <c r="G119" i="6"/>
  <c r="F119" i="6"/>
  <c r="G118" i="6"/>
  <c r="F118" i="6"/>
  <c r="G117" i="6"/>
  <c r="F117" i="6"/>
  <c r="G116" i="6"/>
  <c r="F116" i="6"/>
  <c r="G115" i="6"/>
  <c r="F115" i="6"/>
  <c r="G114" i="6"/>
  <c r="F114" i="6"/>
  <c r="G113" i="6"/>
  <c r="F113" i="6"/>
  <c r="G112" i="6"/>
  <c r="F112" i="6"/>
  <c r="G111" i="6"/>
  <c r="F111" i="6"/>
  <c r="G110" i="6"/>
  <c r="F110" i="6"/>
  <c r="G109" i="6"/>
  <c r="F109" i="6"/>
  <c r="G108" i="6"/>
  <c r="F108" i="6"/>
  <c r="G107" i="6"/>
  <c r="F107" i="6"/>
  <c r="G106" i="6"/>
  <c r="F106" i="6"/>
  <c r="G105" i="6"/>
  <c r="F105" i="6"/>
  <c r="G104" i="6"/>
  <c r="F104" i="6"/>
  <c r="G103" i="6"/>
  <c r="F103" i="6"/>
  <c r="G102" i="6"/>
  <c r="F102" i="6"/>
  <c r="G101" i="6"/>
  <c r="F101" i="6"/>
  <c r="G100" i="6"/>
  <c r="F100" i="6"/>
  <c r="G99" i="6"/>
  <c r="F99" i="6"/>
  <c r="G98" i="6"/>
  <c r="F98" i="6"/>
  <c r="G97" i="6"/>
  <c r="F97" i="6"/>
  <c r="G96" i="6"/>
  <c r="F96" i="6"/>
  <c r="G95" i="6"/>
  <c r="F95" i="6"/>
  <c r="G94" i="6"/>
  <c r="F94" i="6"/>
  <c r="G93" i="6"/>
  <c r="F93" i="6"/>
  <c r="G92" i="6"/>
  <c r="F92" i="6"/>
  <c r="G91" i="6"/>
  <c r="F91" i="6"/>
  <c r="G90" i="6"/>
  <c r="F90" i="6"/>
  <c r="G89" i="6"/>
  <c r="F89" i="6"/>
  <c r="G88" i="6"/>
  <c r="F88" i="6"/>
  <c r="G87" i="6"/>
  <c r="F87" i="6"/>
  <c r="G86" i="6"/>
  <c r="F86" i="6"/>
  <c r="G85" i="6"/>
  <c r="F85" i="6"/>
  <c r="G84" i="6"/>
  <c r="F84" i="6"/>
  <c r="G83" i="6"/>
  <c r="F83" i="6"/>
  <c r="G82" i="6"/>
  <c r="F82" i="6"/>
  <c r="G81" i="6"/>
  <c r="F81" i="6"/>
  <c r="G80" i="6"/>
  <c r="F80" i="6"/>
  <c r="G79" i="6"/>
  <c r="F79" i="6"/>
  <c r="G78" i="6"/>
  <c r="F78" i="6"/>
  <c r="G77" i="6"/>
  <c r="F77" i="6"/>
  <c r="G76" i="6"/>
  <c r="F76" i="6"/>
  <c r="G75" i="6"/>
  <c r="F75" i="6"/>
  <c r="G74" i="6"/>
  <c r="F74" i="6"/>
  <c r="G73" i="6"/>
  <c r="F73" i="6"/>
  <c r="G72" i="6"/>
  <c r="F72" i="6"/>
  <c r="G71" i="6"/>
  <c r="F71" i="6"/>
  <c r="G70" i="6"/>
  <c r="F70" i="6"/>
  <c r="G69" i="6"/>
  <c r="F69" i="6"/>
  <c r="G68" i="6"/>
  <c r="F68" i="6"/>
  <c r="G67" i="6"/>
  <c r="F67" i="6"/>
  <c r="G66" i="6"/>
  <c r="F66" i="6"/>
  <c r="G65" i="6"/>
  <c r="F65" i="6"/>
  <c r="G64" i="6"/>
  <c r="F64" i="6"/>
  <c r="G63" i="6"/>
  <c r="F63" i="6"/>
  <c r="G62" i="6"/>
  <c r="F62" i="6"/>
  <c r="G61" i="6"/>
  <c r="F61" i="6"/>
  <c r="G60" i="6"/>
  <c r="F60" i="6"/>
  <c r="G59" i="6"/>
  <c r="F59" i="6"/>
  <c r="G58" i="6"/>
  <c r="F58" i="6"/>
  <c r="G57" i="6"/>
  <c r="F57" i="6"/>
  <c r="G56" i="6"/>
  <c r="F56" i="6"/>
  <c r="G55" i="6"/>
  <c r="F55" i="6"/>
  <c r="G54" i="6"/>
  <c r="F54" i="6"/>
  <c r="G53" i="6"/>
  <c r="F53" i="6"/>
  <c r="G52" i="6"/>
  <c r="F52" i="6"/>
  <c r="G51" i="6"/>
  <c r="F51" i="6"/>
  <c r="G50" i="6"/>
  <c r="F50" i="6"/>
  <c r="G49" i="6"/>
  <c r="F49" i="6"/>
  <c r="G48" i="6"/>
  <c r="F48" i="6"/>
  <c r="G47" i="6"/>
  <c r="F47" i="6"/>
  <c r="G46" i="6"/>
  <c r="F46" i="6"/>
  <c r="G45" i="6"/>
  <c r="F45" i="6"/>
  <c r="G44" i="6"/>
  <c r="F44" i="6"/>
  <c r="G43" i="6"/>
  <c r="F43" i="6"/>
  <c r="G42" i="6"/>
  <c r="F42" i="6"/>
  <c r="G41" i="6"/>
  <c r="F41" i="6"/>
  <c r="G40" i="6"/>
  <c r="F40" i="6"/>
  <c r="G39" i="6"/>
  <c r="F39" i="6"/>
  <c r="G38" i="6"/>
  <c r="F38" i="6"/>
  <c r="G37" i="6"/>
  <c r="F37" i="6"/>
  <c r="G36" i="6"/>
  <c r="F36" i="6"/>
  <c r="G35" i="6"/>
  <c r="F35" i="6"/>
  <c r="G34" i="6"/>
  <c r="F34" i="6"/>
  <c r="G33" i="6"/>
  <c r="F33" i="6"/>
  <c r="G32" i="6"/>
  <c r="F32" i="6"/>
  <c r="G31" i="6"/>
  <c r="F31" i="6"/>
  <c r="G30" i="6"/>
  <c r="F30" i="6"/>
  <c r="G29" i="6"/>
  <c r="F29" i="6"/>
  <c r="G28" i="6"/>
  <c r="F28" i="6"/>
  <c r="G27" i="6"/>
  <c r="F27" i="6"/>
  <c r="G26" i="6"/>
  <c r="F26" i="6"/>
  <c r="G25" i="6"/>
  <c r="F25" i="6"/>
  <c r="G24" i="6"/>
  <c r="F24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15" i="6"/>
  <c r="F15" i="6"/>
  <c r="G14" i="6"/>
  <c r="F14" i="6"/>
  <c r="G13" i="6"/>
  <c r="F13" i="6"/>
  <c r="G12" i="6"/>
  <c r="F12" i="6"/>
  <c r="G11" i="6"/>
  <c r="F11" i="6"/>
  <c r="G10" i="6"/>
  <c r="F10" i="6"/>
  <c r="G9" i="6"/>
  <c r="F9" i="6"/>
  <c r="G257" i="5"/>
  <c r="F257" i="5"/>
  <c r="G256" i="5"/>
  <c r="F256" i="5"/>
  <c r="G255" i="5"/>
  <c r="F255" i="5"/>
  <c r="G254" i="5"/>
  <c r="F254" i="5"/>
  <c r="G253" i="5"/>
  <c r="F253" i="5"/>
  <c r="G252" i="5"/>
  <c r="F252" i="5"/>
  <c r="G251" i="5"/>
  <c r="F251" i="5"/>
  <c r="G250" i="5"/>
  <c r="F250" i="5"/>
  <c r="G249" i="5"/>
  <c r="F249" i="5"/>
  <c r="G248" i="5"/>
  <c r="F248" i="5"/>
  <c r="G247" i="5"/>
  <c r="F247" i="5"/>
  <c r="G246" i="5"/>
  <c r="F246" i="5"/>
  <c r="G245" i="5"/>
  <c r="F245" i="5"/>
  <c r="G244" i="5"/>
  <c r="F244" i="5"/>
  <c r="G243" i="5"/>
  <c r="F243" i="5"/>
  <c r="G242" i="5"/>
  <c r="F242" i="5"/>
  <c r="G241" i="5"/>
  <c r="F241" i="5"/>
  <c r="G240" i="5"/>
  <c r="F240" i="5"/>
  <c r="G239" i="5"/>
  <c r="F239" i="5"/>
  <c r="G238" i="5"/>
  <c r="F238" i="5"/>
  <c r="G237" i="5"/>
  <c r="F237" i="5"/>
  <c r="G236" i="5"/>
  <c r="F236" i="5"/>
  <c r="G235" i="5"/>
  <c r="F235" i="5"/>
  <c r="G234" i="5"/>
  <c r="F234" i="5"/>
  <c r="G233" i="5"/>
  <c r="F233" i="5"/>
  <c r="G232" i="5"/>
  <c r="F232" i="5"/>
  <c r="G231" i="5"/>
  <c r="F231" i="5"/>
  <c r="G230" i="5"/>
  <c r="F230" i="5"/>
  <c r="G229" i="5"/>
  <c r="F229" i="5"/>
  <c r="G228" i="5"/>
  <c r="F228" i="5"/>
  <c r="G227" i="5"/>
  <c r="F227" i="5"/>
  <c r="G226" i="5"/>
  <c r="F226" i="5"/>
  <c r="G225" i="5"/>
  <c r="F225" i="5"/>
  <c r="G224" i="5"/>
  <c r="F224" i="5"/>
  <c r="G223" i="5"/>
  <c r="F223" i="5"/>
  <c r="G222" i="5"/>
  <c r="F222" i="5"/>
  <c r="G221" i="5"/>
  <c r="F221" i="5"/>
  <c r="G220" i="5"/>
  <c r="F220" i="5"/>
  <c r="G219" i="5"/>
  <c r="F219" i="5"/>
  <c r="G218" i="5"/>
  <c r="F218" i="5"/>
  <c r="G217" i="5"/>
  <c r="F217" i="5"/>
  <c r="G216" i="5"/>
  <c r="F216" i="5"/>
  <c r="G215" i="5"/>
  <c r="F215" i="5"/>
  <c r="G214" i="5"/>
  <c r="F214" i="5"/>
  <c r="G213" i="5"/>
  <c r="F213" i="5"/>
  <c r="G212" i="5"/>
  <c r="F212" i="5"/>
  <c r="G211" i="5"/>
  <c r="F211" i="5"/>
  <c r="G210" i="5"/>
  <c r="F210" i="5"/>
  <c r="G209" i="5"/>
  <c r="F209" i="5"/>
  <c r="G208" i="5"/>
  <c r="F208" i="5"/>
  <c r="G207" i="5"/>
  <c r="F207" i="5"/>
  <c r="G206" i="5"/>
  <c r="F206" i="5"/>
  <c r="G205" i="5"/>
  <c r="F205" i="5"/>
  <c r="G204" i="5"/>
  <c r="F204" i="5"/>
  <c r="G203" i="5"/>
  <c r="F203" i="5"/>
  <c r="G202" i="5"/>
  <c r="F202" i="5"/>
  <c r="G201" i="5"/>
  <c r="F201" i="5"/>
  <c r="G200" i="5"/>
  <c r="F200" i="5"/>
  <c r="G199" i="5"/>
  <c r="F199" i="5"/>
  <c r="G198" i="5"/>
  <c r="F198" i="5"/>
  <c r="G197" i="5"/>
  <c r="F197" i="5"/>
  <c r="G196" i="5"/>
  <c r="F196" i="5"/>
  <c r="G195" i="5"/>
  <c r="F195" i="5"/>
  <c r="G194" i="5"/>
  <c r="F194" i="5"/>
  <c r="G193" i="5"/>
  <c r="F193" i="5"/>
  <c r="G192" i="5"/>
  <c r="F192" i="5"/>
  <c r="G191" i="5"/>
  <c r="F191" i="5"/>
  <c r="G190" i="5"/>
  <c r="F190" i="5"/>
  <c r="G189" i="5"/>
  <c r="F189" i="5"/>
  <c r="G188" i="5"/>
  <c r="F188" i="5"/>
  <c r="G187" i="5"/>
  <c r="F187" i="5"/>
  <c r="G186" i="5"/>
  <c r="F186" i="5"/>
  <c r="G185" i="5"/>
  <c r="F185" i="5"/>
  <c r="G184" i="5"/>
  <c r="F184" i="5"/>
  <c r="G183" i="5"/>
  <c r="F183" i="5"/>
  <c r="G182" i="5"/>
  <c r="F182" i="5"/>
  <c r="G181" i="5"/>
  <c r="F181" i="5"/>
  <c r="G180" i="5"/>
  <c r="F180" i="5"/>
  <c r="G179" i="5"/>
  <c r="F179" i="5"/>
  <c r="G178" i="5"/>
  <c r="F178" i="5"/>
  <c r="G177" i="5"/>
  <c r="F177" i="5"/>
  <c r="G176" i="5"/>
  <c r="F176" i="5"/>
  <c r="G175" i="5"/>
  <c r="F175" i="5"/>
  <c r="G174" i="5"/>
  <c r="F174" i="5"/>
  <c r="G173" i="5"/>
  <c r="F173" i="5"/>
  <c r="G172" i="5"/>
  <c r="F172" i="5"/>
  <c r="G171" i="5"/>
  <c r="F171" i="5"/>
  <c r="G170" i="5"/>
  <c r="F170" i="5"/>
  <c r="G169" i="5"/>
  <c r="F169" i="5"/>
  <c r="G168" i="5"/>
  <c r="F168" i="5"/>
  <c r="G167" i="5"/>
  <c r="F167" i="5"/>
  <c r="G166" i="5"/>
  <c r="F166" i="5"/>
  <c r="G165" i="5"/>
  <c r="F165" i="5"/>
  <c r="G164" i="5"/>
  <c r="F164" i="5"/>
  <c r="G163" i="5"/>
  <c r="F163" i="5"/>
  <c r="G162" i="5"/>
  <c r="F162" i="5"/>
  <c r="G161" i="5"/>
  <c r="F161" i="5"/>
  <c r="G160" i="5"/>
  <c r="F160" i="5"/>
  <c r="G159" i="5"/>
  <c r="F159" i="5"/>
  <c r="G158" i="5"/>
  <c r="F158" i="5"/>
  <c r="G157" i="5"/>
  <c r="F157" i="5"/>
  <c r="G156" i="5"/>
  <c r="F156" i="5"/>
  <c r="G155" i="5"/>
  <c r="F155" i="5"/>
  <c r="G154" i="5"/>
  <c r="F154" i="5"/>
  <c r="G153" i="5"/>
  <c r="F153" i="5"/>
  <c r="G152" i="5"/>
  <c r="F152" i="5"/>
  <c r="G151" i="5"/>
  <c r="F151" i="5"/>
  <c r="G150" i="5"/>
  <c r="F150" i="5"/>
  <c r="G149" i="5"/>
  <c r="F149" i="5"/>
  <c r="G148" i="5"/>
  <c r="F148" i="5"/>
  <c r="G147" i="5"/>
  <c r="F147" i="5"/>
  <c r="G146" i="5"/>
  <c r="F146" i="5"/>
  <c r="G145" i="5"/>
  <c r="F145" i="5"/>
  <c r="G144" i="5"/>
  <c r="F144" i="5"/>
  <c r="G143" i="5"/>
  <c r="F143" i="5"/>
  <c r="G142" i="5"/>
  <c r="F142" i="5"/>
  <c r="G141" i="5"/>
  <c r="F141" i="5"/>
  <c r="G140" i="5"/>
  <c r="F140" i="5"/>
  <c r="G139" i="5"/>
  <c r="F139" i="5"/>
  <c r="G138" i="5"/>
  <c r="F138" i="5"/>
  <c r="G137" i="5"/>
  <c r="F137" i="5"/>
  <c r="G136" i="5"/>
  <c r="F136" i="5"/>
  <c r="G135" i="5"/>
  <c r="F135" i="5"/>
  <c r="G134" i="5"/>
  <c r="F134" i="5"/>
  <c r="G133" i="5"/>
  <c r="F133" i="5"/>
  <c r="G132" i="5"/>
  <c r="F132" i="5"/>
  <c r="G131" i="5"/>
  <c r="F131" i="5"/>
  <c r="G130" i="5"/>
  <c r="F130" i="5"/>
  <c r="G129" i="5"/>
  <c r="F129" i="5"/>
  <c r="G128" i="5"/>
  <c r="F128" i="5"/>
  <c r="G127" i="5"/>
  <c r="F127" i="5"/>
  <c r="G126" i="5"/>
  <c r="F126" i="5"/>
  <c r="G125" i="5"/>
  <c r="F125" i="5"/>
  <c r="G124" i="5"/>
  <c r="F124" i="5"/>
  <c r="G123" i="5"/>
  <c r="F123" i="5"/>
  <c r="G122" i="5"/>
  <c r="F122" i="5"/>
  <c r="G121" i="5"/>
  <c r="F121" i="5"/>
  <c r="G120" i="5"/>
  <c r="F120" i="5"/>
  <c r="G119" i="5"/>
  <c r="F119" i="5"/>
  <c r="G118" i="5"/>
  <c r="F118" i="5"/>
  <c r="G117" i="5"/>
  <c r="F117" i="5"/>
  <c r="G116" i="5"/>
  <c r="F116" i="5"/>
  <c r="G115" i="5"/>
  <c r="F115" i="5"/>
  <c r="G114" i="5"/>
  <c r="F114" i="5"/>
  <c r="G113" i="5"/>
  <c r="F113" i="5"/>
  <c r="G112" i="5"/>
  <c r="F112" i="5"/>
  <c r="G111" i="5"/>
  <c r="F111" i="5"/>
  <c r="G110" i="5"/>
  <c r="F110" i="5"/>
  <c r="G109" i="5"/>
  <c r="F109" i="5"/>
  <c r="G108" i="5"/>
  <c r="F108" i="5"/>
  <c r="G107" i="5"/>
  <c r="F107" i="5"/>
  <c r="G106" i="5"/>
  <c r="F106" i="5"/>
  <c r="G105" i="5"/>
  <c r="F105" i="5"/>
  <c r="G104" i="5"/>
  <c r="F104" i="5"/>
  <c r="G103" i="5"/>
  <c r="F103" i="5"/>
  <c r="G102" i="5"/>
  <c r="F102" i="5"/>
  <c r="G101" i="5"/>
  <c r="F101" i="5"/>
  <c r="G100" i="5"/>
  <c r="F100" i="5"/>
  <c r="G99" i="5"/>
  <c r="F99" i="5"/>
  <c r="G98" i="5"/>
  <c r="F98" i="5"/>
  <c r="G97" i="5"/>
  <c r="F97" i="5"/>
  <c r="G96" i="5"/>
  <c r="F96" i="5"/>
  <c r="G95" i="5"/>
  <c r="F95" i="5"/>
  <c r="G94" i="5"/>
  <c r="F94" i="5"/>
  <c r="G93" i="5"/>
  <c r="F93" i="5"/>
  <c r="G92" i="5"/>
  <c r="F92" i="5"/>
  <c r="G91" i="5"/>
  <c r="F91" i="5"/>
  <c r="G90" i="5"/>
  <c r="F90" i="5"/>
  <c r="G89" i="5"/>
  <c r="F89" i="5"/>
  <c r="G88" i="5"/>
  <c r="F88" i="5"/>
  <c r="G87" i="5"/>
  <c r="F87" i="5"/>
  <c r="G86" i="5"/>
  <c r="F86" i="5"/>
  <c r="G85" i="5"/>
  <c r="F85" i="5"/>
  <c r="G84" i="5"/>
  <c r="F84" i="5"/>
  <c r="G83" i="5"/>
  <c r="F83" i="5"/>
  <c r="G82" i="5"/>
  <c r="F82" i="5"/>
  <c r="G81" i="5"/>
  <c r="F81" i="5"/>
  <c r="G80" i="5"/>
  <c r="F80" i="5"/>
  <c r="G79" i="5"/>
  <c r="F79" i="5"/>
  <c r="G78" i="5"/>
  <c r="F78" i="5"/>
  <c r="G77" i="5"/>
  <c r="F77" i="5"/>
  <c r="G76" i="5"/>
  <c r="F76" i="5"/>
  <c r="G75" i="5"/>
  <c r="F75" i="5"/>
  <c r="G74" i="5"/>
  <c r="F74" i="5"/>
  <c r="G73" i="5"/>
  <c r="F73" i="5"/>
  <c r="G72" i="5"/>
  <c r="F72" i="5"/>
  <c r="G71" i="5"/>
  <c r="F71" i="5"/>
  <c r="G70" i="5"/>
  <c r="F70" i="5"/>
  <c r="G69" i="5"/>
  <c r="F69" i="5"/>
  <c r="G68" i="5"/>
  <c r="F68" i="5"/>
  <c r="G67" i="5"/>
  <c r="F67" i="5"/>
  <c r="G66" i="5"/>
  <c r="F66" i="5"/>
  <c r="G65" i="5"/>
  <c r="F65" i="5"/>
  <c r="G64" i="5"/>
  <c r="F64" i="5"/>
  <c r="G63" i="5"/>
  <c r="F63" i="5"/>
  <c r="G62" i="5"/>
  <c r="F62" i="5"/>
  <c r="G61" i="5"/>
  <c r="F61" i="5"/>
  <c r="G60" i="5"/>
  <c r="F60" i="5"/>
  <c r="G59" i="5"/>
  <c r="F59" i="5"/>
  <c r="G58" i="5"/>
  <c r="F58" i="5"/>
  <c r="G57" i="5"/>
  <c r="F57" i="5"/>
  <c r="G56" i="5"/>
  <c r="F56" i="5"/>
  <c r="G55" i="5"/>
  <c r="F55" i="5"/>
  <c r="G54" i="5"/>
  <c r="F54" i="5"/>
  <c r="G53" i="5"/>
  <c r="F53" i="5"/>
  <c r="G52" i="5"/>
  <c r="F52" i="5"/>
  <c r="G51" i="5"/>
  <c r="F51" i="5"/>
  <c r="G50" i="5"/>
  <c r="F50" i="5"/>
  <c r="G49" i="5"/>
  <c r="F49" i="5"/>
  <c r="G48" i="5"/>
  <c r="F48" i="5"/>
  <c r="G47" i="5"/>
  <c r="F47" i="5"/>
  <c r="G46" i="5"/>
  <c r="F46" i="5"/>
  <c r="G45" i="5"/>
  <c r="F45" i="5"/>
  <c r="G44" i="5"/>
  <c r="F44" i="5"/>
  <c r="G43" i="5"/>
  <c r="F43" i="5"/>
  <c r="G42" i="5"/>
  <c r="F42" i="5"/>
  <c r="G41" i="5"/>
  <c r="F41" i="5"/>
  <c r="G40" i="5"/>
  <c r="F40" i="5"/>
  <c r="G39" i="5"/>
  <c r="F39" i="5"/>
  <c r="G38" i="5"/>
  <c r="F38" i="5"/>
  <c r="G37" i="5"/>
  <c r="F37" i="5"/>
  <c r="G36" i="5"/>
  <c r="F36" i="5"/>
  <c r="G35" i="5"/>
  <c r="F35" i="5"/>
  <c r="G34" i="5"/>
  <c r="F34" i="5"/>
  <c r="G33" i="5"/>
  <c r="F33" i="5"/>
  <c r="G32" i="5"/>
  <c r="F32" i="5"/>
  <c r="G31" i="5"/>
  <c r="F31" i="5"/>
  <c r="G30" i="5"/>
  <c r="F30" i="5"/>
  <c r="G29" i="5"/>
  <c r="F29" i="5"/>
  <c r="G28" i="5"/>
  <c r="F28" i="5"/>
  <c r="G27" i="5"/>
  <c r="F27" i="5"/>
  <c r="G26" i="5"/>
  <c r="F26" i="5"/>
  <c r="G25" i="5"/>
  <c r="F25" i="5"/>
  <c r="G24" i="5"/>
  <c r="F24" i="5"/>
  <c r="G23" i="5"/>
  <c r="F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257" i="4"/>
  <c r="F257" i="4"/>
  <c r="G256" i="4"/>
  <c r="F256" i="4"/>
  <c r="G255" i="4"/>
  <c r="F255" i="4"/>
  <c r="G254" i="4"/>
  <c r="F254" i="4"/>
  <c r="G253" i="4"/>
  <c r="F253" i="4"/>
  <c r="G252" i="4"/>
  <c r="F252" i="4"/>
  <c r="G251" i="4"/>
  <c r="F251" i="4"/>
  <c r="G250" i="4"/>
  <c r="F250" i="4"/>
  <c r="G249" i="4"/>
  <c r="F249" i="4"/>
  <c r="G248" i="4"/>
  <c r="F248" i="4"/>
  <c r="G247" i="4"/>
  <c r="F247" i="4"/>
  <c r="G246" i="4"/>
  <c r="F246" i="4"/>
  <c r="G245" i="4"/>
  <c r="F245" i="4"/>
  <c r="G244" i="4"/>
  <c r="F244" i="4"/>
  <c r="G243" i="4"/>
  <c r="F243" i="4"/>
  <c r="G242" i="4"/>
  <c r="F242" i="4"/>
  <c r="G241" i="4"/>
  <c r="F241" i="4"/>
  <c r="G240" i="4"/>
  <c r="F240" i="4"/>
  <c r="G239" i="4"/>
  <c r="F239" i="4"/>
  <c r="G238" i="4"/>
  <c r="F238" i="4"/>
  <c r="G237" i="4"/>
  <c r="F237" i="4"/>
  <c r="G236" i="4"/>
  <c r="F236" i="4"/>
  <c r="G235" i="4"/>
  <c r="F235" i="4"/>
  <c r="G234" i="4"/>
  <c r="F234" i="4"/>
  <c r="G233" i="4"/>
  <c r="F233" i="4"/>
  <c r="G232" i="4"/>
  <c r="F232" i="4"/>
  <c r="G231" i="4"/>
  <c r="F231" i="4"/>
  <c r="G230" i="4"/>
  <c r="F230" i="4"/>
  <c r="G229" i="4"/>
  <c r="F229" i="4"/>
  <c r="G228" i="4"/>
  <c r="F228" i="4"/>
  <c r="G227" i="4"/>
  <c r="F227" i="4"/>
  <c r="G226" i="4"/>
  <c r="F226" i="4"/>
  <c r="G225" i="4"/>
  <c r="F225" i="4"/>
  <c r="G224" i="4"/>
  <c r="F224" i="4"/>
  <c r="G223" i="4"/>
  <c r="F223" i="4"/>
  <c r="G222" i="4"/>
  <c r="F222" i="4"/>
  <c r="G221" i="4"/>
  <c r="F221" i="4"/>
  <c r="G220" i="4"/>
  <c r="F220" i="4"/>
  <c r="G219" i="4"/>
  <c r="F219" i="4"/>
  <c r="G218" i="4"/>
  <c r="F218" i="4"/>
  <c r="G217" i="4"/>
  <c r="F217" i="4"/>
  <c r="G216" i="4"/>
  <c r="F216" i="4"/>
  <c r="G215" i="4"/>
  <c r="F215" i="4"/>
  <c r="G214" i="4"/>
  <c r="F214" i="4"/>
  <c r="G213" i="4"/>
  <c r="F213" i="4"/>
  <c r="G212" i="4"/>
  <c r="F212" i="4"/>
  <c r="G211" i="4"/>
  <c r="F211" i="4"/>
  <c r="G210" i="4"/>
  <c r="F210" i="4"/>
  <c r="G209" i="4"/>
  <c r="F209" i="4"/>
  <c r="G208" i="4"/>
  <c r="F208" i="4"/>
  <c r="G207" i="4"/>
  <c r="F207" i="4"/>
  <c r="G206" i="4"/>
  <c r="F206" i="4"/>
  <c r="G205" i="4"/>
  <c r="F205" i="4"/>
  <c r="G204" i="4"/>
  <c r="F204" i="4"/>
  <c r="G203" i="4"/>
  <c r="F203" i="4"/>
  <c r="G202" i="4"/>
  <c r="F202" i="4"/>
  <c r="G201" i="4"/>
  <c r="F201" i="4"/>
  <c r="G200" i="4"/>
  <c r="F200" i="4"/>
  <c r="G199" i="4"/>
  <c r="F199" i="4"/>
  <c r="G198" i="4"/>
  <c r="F198" i="4"/>
  <c r="G197" i="4"/>
  <c r="F197" i="4"/>
  <c r="G196" i="4"/>
  <c r="F196" i="4"/>
  <c r="G195" i="4"/>
  <c r="F195" i="4"/>
  <c r="G194" i="4"/>
  <c r="F194" i="4"/>
  <c r="G193" i="4"/>
  <c r="F193" i="4"/>
  <c r="G192" i="4"/>
  <c r="F192" i="4"/>
  <c r="G191" i="4"/>
  <c r="F191" i="4"/>
  <c r="G190" i="4"/>
  <c r="F190" i="4"/>
  <c r="G189" i="4"/>
  <c r="F189" i="4"/>
  <c r="G188" i="4"/>
  <c r="F188" i="4"/>
  <c r="G187" i="4"/>
  <c r="F187" i="4"/>
  <c r="G186" i="4"/>
  <c r="F186" i="4"/>
  <c r="G185" i="4"/>
  <c r="F185" i="4"/>
  <c r="G184" i="4"/>
  <c r="F184" i="4"/>
  <c r="G183" i="4"/>
  <c r="F183" i="4"/>
  <c r="G182" i="4"/>
  <c r="F182" i="4"/>
  <c r="G181" i="4"/>
  <c r="F181" i="4"/>
  <c r="G180" i="4"/>
  <c r="F180" i="4"/>
  <c r="G179" i="4"/>
  <c r="F179" i="4"/>
  <c r="G178" i="4"/>
  <c r="F178" i="4"/>
  <c r="G177" i="4"/>
  <c r="F177" i="4"/>
  <c r="G176" i="4"/>
  <c r="F176" i="4"/>
  <c r="G175" i="4"/>
  <c r="F175" i="4"/>
  <c r="G174" i="4"/>
  <c r="F174" i="4"/>
  <c r="G173" i="4"/>
  <c r="F173" i="4"/>
  <c r="G172" i="4"/>
  <c r="F172" i="4"/>
  <c r="G171" i="4"/>
  <c r="F171" i="4"/>
  <c r="G170" i="4"/>
  <c r="F170" i="4"/>
  <c r="G169" i="4"/>
  <c r="F169" i="4"/>
  <c r="G168" i="4"/>
  <c r="F168" i="4"/>
  <c r="G167" i="4"/>
  <c r="F167" i="4"/>
  <c r="G166" i="4"/>
  <c r="F166" i="4"/>
  <c r="G165" i="4"/>
  <c r="F165" i="4"/>
  <c r="G164" i="4"/>
  <c r="F164" i="4"/>
  <c r="G163" i="4"/>
  <c r="F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G154" i="4"/>
  <c r="F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G145" i="4"/>
  <c r="F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G136" i="4"/>
  <c r="F136" i="4"/>
  <c r="G135" i="4"/>
  <c r="F135" i="4"/>
  <c r="G134" i="4"/>
  <c r="F134" i="4"/>
  <c r="G133" i="4"/>
  <c r="F133" i="4"/>
  <c r="G132" i="4"/>
  <c r="F132" i="4"/>
  <c r="G131" i="4"/>
  <c r="F131" i="4"/>
  <c r="G130" i="4"/>
  <c r="F130" i="4"/>
  <c r="G129" i="4"/>
  <c r="F129" i="4"/>
  <c r="G128" i="4"/>
  <c r="F128" i="4"/>
  <c r="G127" i="4"/>
  <c r="F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G118" i="4"/>
  <c r="F118" i="4"/>
  <c r="G117" i="4"/>
  <c r="F117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G108" i="4"/>
  <c r="F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G99" i="4"/>
  <c r="F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G90" i="4"/>
  <c r="F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G81" i="4"/>
  <c r="F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257" i="3"/>
  <c r="F257" i="3"/>
  <c r="G256" i="3"/>
  <c r="F256" i="3"/>
  <c r="G255" i="3"/>
  <c r="F255" i="3"/>
  <c r="G254" i="3"/>
  <c r="F254" i="3"/>
  <c r="G253" i="3"/>
  <c r="F253" i="3"/>
  <c r="G252" i="3"/>
  <c r="F252" i="3"/>
  <c r="G251" i="3"/>
  <c r="F251" i="3"/>
  <c r="G250" i="3"/>
  <c r="F250" i="3"/>
  <c r="G249" i="3"/>
  <c r="F249" i="3"/>
  <c r="G248" i="3"/>
  <c r="F248" i="3"/>
  <c r="G247" i="3"/>
  <c r="F247" i="3"/>
  <c r="G246" i="3"/>
  <c r="F246" i="3"/>
  <c r="G245" i="3"/>
  <c r="F245" i="3"/>
  <c r="G244" i="3"/>
  <c r="F244" i="3"/>
  <c r="G243" i="3"/>
  <c r="F243" i="3"/>
  <c r="G242" i="3"/>
  <c r="F242" i="3"/>
  <c r="G241" i="3"/>
  <c r="F241" i="3"/>
  <c r="G240" i="3"/>
  <c r="F240" i="3"/>
  <c r="G239" i="3"/>
  <c r="F239" i="3"/>
  <c r="G238" i="3"/>
  <c r="F238" i="3"/>
  <c r="G237" i="3"/>
  <c r="F237" i="3"/>
  <c r="G236" i="3"/>
  <c r="F236" i="3"/>
  <c r="G235" i="3"/>
  <c r="F235" i="3"/>
  <c r="G234" i="3"/>
  <c r="F234" i="3"/>
  <c r="G233" i="3"/>
  <c r="F233" i="3"/>
  <c r="G232" i="3"/>
  <c r="F232" i="3"/>
  <c r="G231" i="3"/>
  <c r="F231" i="3"/>
  <c r="G230" i="3"/>
  <c r="F230" i="3"/>
  <c r="G229" i="3"/>
  <c r="F229" i="3"/>
  <c r="G228" i="3"/>
  <c r="F228" i="3"/>
  <c r="G227" i="3"/>
  <c r="F227" i="3"/>
  <c r="G226" i="3"/>
  <c r="F226" i="3"/>
  <c r="G225" i="3"/>
  <c r="F225" i="3"/>
  <c r="G224" i="3"/>
  <c r="F224" i="3"/>
  <c r="G223" i="3"/>
  <c r="F223" i="3"/>
  <c r="G222" i="3"/>
  <c r="F222" i="3"/>
  <c r="G221" i="3"/>
  <c r="F221" i="3"/>
  <c r="G220" i="3"/>
  <c r="F220" i="3"/>
  <c r="G219" i="3"/>
  <c r="F219" i="3"/>
  <c r="G218" i="3"/>
  <c r="F218" i="3"/>
  <c r="G217" i="3"/>
  <c r="F217" i="3"/>
  <c r="G216" i="3"/>
  <c r="F216" i="3"/>
  <c r="G215" i="3"/>
  <c r="F215" i="3"/>
  <c r="G214" i="3"/>
  <c r="F214" i="3"/>
  <c r="G213" i="3"/>
  <c r="F213" i="3"/>
  <c r="G212" i="3"/>
  <c r="F212" i="3"/>
  <c r="G211" i="3"/>
  <c r="F211" i="3"/>
  <c r="G210" i="3"/>
  <c r="F210" i="3"/>
  <c r="G209" i="3"/>
  <c r="F209" i="3"/>
  <c r="G208" i="3"/>
  <c r="F208" i="3"/>
  <c r="G207" i="3"/>
  <c r="F207" i="3"/>
  <c r="G206" i="3"/>
  <c r="F206" i="3"/>
  <c r="G205" i="3"/>
  <c r="F205" i="3"/>
  <c r="G204" i="3"/>
  <c r="F204" i="3"/>
  <c r="G203" i="3"/>
  <c r="F203" i="3"/>
  <c r="G202" i="3"/>
  <c r="F202" i="3"/>
  <c r="G201" i="3"/>
  <c r="F201" i="3"/>
  <c r="G200" i="3"/>
  <c r="F200" i="3"/>
  <c r="G199" i="3"/>
  <c r="F199" i="3"/>
  <c r="G198" i="3"/>
  <c r="F198" i="3"/>
  <c r="G197" i="3"/>
  <c r="F197" i="3"/>
  <c r="G196" i="3"/>
  <c r="F196" i="3"/>
  <c r="G195" i="3"/>
  <c r="F195" i="3"/>
  <c r="G194" i="3"/>
  <c r="F194" i="3"/>
  <c r="G193" i="3"/>
  <c r="F193" i="3"/>
  <c r="G192" i="3"/>
  <c r="F192" i="3"/>
  <c r="G191" i="3"/>
  <c r="F191" i="3"/>
  <c r="G190" i="3"/>
  <c r="F190" i="3"/>
  <c r="G189" i="3"/>
  <c r="F189" i="3"/>
  <c r="G188" i="3"/>
  <c r="F188" i="3"/>
  <c r="G187" i="3"/>
  <c r="F187" i="3"/>
  <c r="G186" i="3"/>
  <c r="F186" i="3"/>
  <c r="G185" i="3"/>
  <c r="F185" i="3"/>
  <c r="G184" i="3"/>
  <c r="F184" i="3"/>
  <c r="G183" i="3"/>
  <c r="F183" i="3"/>
  <c r="G182" i="3"/>
  <c r="F182" i="3"/>
  <c r="G181" i="3"/>
  <c r="F181" i="3"/>
  <c r="G180" i="3"/>
  <c r="F180" i="3"/>
  <c r="G179" i="3"/>
  <c r="F179" i="3"/>
  <c r="G178" i="3"/>
  <c r="F178" i="3"/>
  <c r="G177" i="3"/>
  <c r="F177" i="3"/>
  <c r="G176" i="3"/>
  <c r="F176" i="3"/>
  <c r="G175" i="3"/>
  <c r="F175" i="3"/>
  <c r="G174" i="3"/>
  <c r="F174" i="3"/>
  <c r="G173" i="3"/>
  <c r="F173" i="3"/>
  <c r="G172" i="3"/>
  <c r="F172" i="3"/>
  <c r="G171" i="3"/>
  <c r="F171" i="3"/>
  <c r="G170" i="3"/>
  <c r="F170" i="3"/>
  <c r="G169" i="3"/>
  <c r="F169" i="3"/>
  <c r="G168" i="3"/>
  <c r="F168" i="3"/>
  <c r="G167" i="3"/>
  <c r="F167" i="3"/>
  <c r="G166" i="3"/>
  <c r="F166" i="3"/>
  <c r="G165" i="3"/>
  <c r="F165" i="3"/>
  <c r="G164" i="3"/>
  <c r="F164" i="3"/>
  <c r="G163" i="3"/>
  <c r="F163" i="3"/>
  <c r="G162" i="3"/>
  <c r="F162" i="3"/>
  <c r="G161" i="3"/>
  <c r="F161" i="3"/>
  <c r="G160" i="3"/>
  <c r="F160" i="3"/>
  <c r="G159" i="3"/>
  <c r="F159" i="3"/>
  <c r="G158" i="3"/>
  <c r="F158" i="3"/>
  <c r="G157" i="3"/>
  <c r="F157" i="3"/>
  <c r="G156" i="3"/>
  <c r="F156" i="3"/>
  <c r="G155" i="3"/>
  <c r="F155" i="3"/>
  <c r="G154" i="3"/>
  <c r="F154" i="3"/>
  <c r="G153" i="3"/>
  <c r="F153" i="3"/>
  <c r="G152" i="3"/>
  <c r="F152" i="3"/>
  <c r="G151" i="3"/>
  <c r="F151" i="3"/>
  <c r="G150" i="3"/>
  <c r="F150" i="3"/>
  <c r="G149" i="3"/>
  <c r="F149" i="3"/>
  <c r="G148" i="3"/>
  <c r="F148" i="3"/>
  <c r="G147" i="3"/>
  <c r="F147" i="3"/>
  <c r="G146" i="3"/>
  <c r="F146" i="3"/>
  <c r="G145" i="3"/>
  <c r="F145" i="3"/>
  <c r="G144" i="3"/>
  <c r="F144" i="3"/>
  <c r="G143" i="3"/>
  <c r="F143" i="3"/>
  <c r="G142" i="3"/>
  <c r="F142" i="3"/>
  <c r="G141" i="3"/>
  <c r="F141" i="3"/>
  <c r="G140" i="3"/>
  <c r="F140" i="3"/>
  <c r="G139" i="3"/>
  <c r="F139" i="3"/>
  <c r="G138" i="3"/>
  <c r="F138" i="3"/>
  <c r="G137" i="3"/>
  <c r="F137" i="3"/>
  <c r="G136" i="3"/>
  <c r="F136" i="3"/>
  <c r="G135" i="3"/>
  <c r="F135" i="3"/>
  <c r="G134" i="3"/>
  <c r="F134" i="3"/>
  <c r="G133" i="3"/>
  <c r="F133" i="3"/>
  <c r="G132" i="3"/>
  <c r="F132" i="3"/>
  <c r="G131" i="3"/>
  <c r="F131" i="3"/>
  <c r="G130" i="3"/>
  <c r="F130" i="3"/>
  <c r="G129" i="3"/>
  <c r="F129" i="3"/>
  <c r="G128" i="3"/>
  <c r="F128" i="3"/>
  <c r="G127" i="3"/>
  <c r="F127" i="3"/>
  <c r="G126" i="3"/>
  <c r="F126" i="3"/>
  <c r="G125" i="3"/>
  <c r="F125" i="3"/>
  <c r="G124" i="3"/>
  <c r="F124" i="3"/>
  <c r="G123" i="3"/>
  <c r="F123" i="3"/>
  <c r="G122" i="3"/>
  <c r="F122" i="3"/>
  <c r="G121" i="3"/>
  <c r="F121" i="3"/>
  <c r="G120" i="3"/>
  <c r="F120" i="3"/>
  <c r="G119" i="3"/>
  <c r="F119" i="3"/>
  <c r="G118" i="3"/>
  <c r="F118" i="3"/>
  <c r="G117" i="3"/>
  <c r="F117" i="3"/>
  <c r="G116" i="3"/>
  <c r="F116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98" i="3"/>
  <c r="F98" i="3"/>
  <c r="G97" i="3"/>
  <c r="F97" i="3"/>
  <c r="G96" i="3"/>
  <c r="F96" i="3"/>
  <c r="G95" i="3"/>
  <c r="F95" i="3"/>
  <c r="G94" i="3"/>
  <c r="F94" i="3"/>
  <c r="G93" i="3"/>
  <c r="F93" i="3"/>
  <c r="G92" i="3"/>
  <c r="F92" i="3"/>
  <c r="G91" i="3"/>
  <c r="F91" i="3"/>
  <c r="G90" i="3"/>
  <c r="F90" i="3"/>
  <c r="G89" i="3"/>
  <c r="F89" i="3"/>
  <c r="G88" i="3"/>
  <c r="F88" i="3"/>
  <c r="G87" i="3"/>
  <c r="F87" i="3"/>
  <c r="G86" i="3"/>
  <c r="F86" i="3"/>
  <c r="G85" i="3"/>
  <c r="F85" i="3"/>
  <c r="G84" i="3"/>
  <c r="F84" i="3"/>
  <c r="G83" i="3"/>
  <c r="F83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Q6" i="1"/>
  <c r="Q7" i="1"/>
  <c r="Q8" i="1"/>
  <c r="Q9" i="1"/>
  <c r="Q10" i="1"/>
  <c r="Q11" i="1"/>
  <c r="Q12" i="1"/>
  <c r="Q13" i="1"/>
  <c r="Q14" i="1"/>
  <c r="Q15" i="1"/>
  <c r="Q16" i="1"/>
  <c r="Q17" i="1"/>
  <c r="G10" i="2" l="1"/>
  <c r="F9" i="2"/>
  <c r="E4" i="8"/>
  <c r="F4" i="8"/>
  <c r="D4" i="8"/>
  <c r="E4" i="7"/>
  <c r="F4" i="7"/>
  <c r="D4" i="7"/>
  <c r="E4" i="6"/>
  <c r="F4" i="6"/>
  <c r="D4" i="6"/>
  <c r="E4" i="5"/>
  <c r="F4" i="5"/>
  <c r="D4" i="5"/>
  <c r="E4" i="4"/>
  <c r="F4" i="4"/>
  <c r="D4" i="4"/>
  <c r="E4" i="3"/>
  <c r="F4" i="3"/>
  <c r="D4" i="3"/>
  <c r="D4" i="2"/>
  <c r="E4" i="2"/>
  <c r="F4" i="2"/>
  <c r="C4" i="8"/>
  <c r="C4" i="7"/>
  <c r="C4" i="6"/>
  <c r="C4" i="5"/>
  <c r="C4" i="4"/>
  <c r="C4" i="3"/>
  <c r="C4" i="2"/>
  <c r="F257" i="2"/>
  <c r="G257" i="2"/>
  <c r="F256" i="2"/>
  <c r="G256" i="2"/>
  <c r="F255" i="2"/>
  <c r="G255" i="2"/>
  <c r="F254" i="2"/>
  <c r="G254" i="2"/>
  <c r="F253" i="2"/>
  <c r="G253" i="2"/>
  <c r="F252" i="2"/>
  <c r="G252" i="2"/>
  <c r="F251" i="2"/>
  <c r="G251" i="2"/>
  <c r="F250" i="2"/>
  <c r="G250" i="2"/>
  <c r="F249" i="2"/>
  <c r="G249" i="2"/>
  <c r="F248" i="2"/>
  <c r="G248" i="2"/>
  <c r="F247" i="2"/>
  <c r="G247" i="2"/>
  <c r="F246" i="2"/>
  <c r="G246" i="2"/>
  <c r="F245" i="2"/>
  <c r="G245" i="2"/>
  <c r="F244" i="2"/>
  <c r="G244" i="2"/>
  <c r="F243" i="2"/>
  <c r="G243" i="2"/>
  <c r="F242" i="2"/>
  <c r="G242" i="2"/>
  <c r="F241" i="2"/>
  <c r="G241" i="2"/>
  <c r="F240" i="2"/>
  <c r="G240" i="2"/>
  <c r="F239" i="2"/>
  <c r="G239" i="2"/>
  <c r="F238" i="2"/>
  <c r="G238" i="2"/>
  <c r="F237" i="2"/>
  <c r="G237" i="2"/>
  <c r="F236" i="2"/>
  <c r="G236" i="2"/>
  <c r="F235" i="2"/>
  <c r="G235" i="2"/>
  <c r="F234" i="2"/>
  <c r="G234" i="2"/>
  <c r="F233" i="2"/>
  <c r="G233" i="2"/>
  <c r="F232" i="2"/>
  <c r="G232" i="2"/>
  <c r="F231" i="2"/>
  <c r="G231" i="2"/>
  <c r="F230" i="2"/>
  <c r="G230" i="2"/>
  <c r="F229" i="2"/>
  <c r="G229" i="2"/>
  <c r="F228" i="2"/>
  <c r="G228" i="2"/>
  <c r="F227" i="2"/>
  <c r="G227" i="2"/>
  <c r="F226" i="2"/>
  <c r="G226" i="2"/>
  <c r="F225" i="2"/>
  <c r="G225" i="2"/>
  <c r="F224" i="2"/>
  <c r="G224" i="2"/>
  <c r="F223" i="2"/>
  <c r="G223" i="2"/>
  <c r="F222" i="2"/>
  <c r="G222" i="2"/>
  <c r="F221" i="2"/>
  <c r="G221" i="2"/>
  <c r="F220" i="2"/>
  <c r="G220" i="2"/>
  <c r="F219" i="2"/>
  <c r="G219" i="2"/>
  <c r="F218" i="2"/>
  <c r="G218" i="2"/>
  <c r="F217" i="2"/>
  <c r="G217" i="2"/>
  <c r="F216" i="2"/>
  <c r="G216" i="2"/>
  <c r="F215" i="2"/>
  <c r="G215" i="2"/>
  <c r="F214" i="2"/>
  <c r="G214" i="2"/>
  <c r="F213" i="2"/>
  <c r="G213" i="2"/>
  <c r="F212" i="2"/>
  <c r="G212" i="2"/>
  <c r="F211" i="2"/>
  <c r="G211" i="2"/>
  <c r="F210" i="2"/>
  <c r="G210" i="2"/>
  <c r="F209" i="2"/>
  <c r="G209" i="2"/>
  <c r="F208" i="2"/>
  <c r="G208" i="2"/>
  <c r="F207" i="2"/>
  <c r="G207" i="2"/>
  <c r="F206" i="2"/>
  <c r="G206" i="2"/>
  <c r="F205" i="2"/>
  <c r="G205" i="2"/>
  <c r="F204" i="2"/>
  <c r="G204" i="2"/>
  <c r="F203" i="2"/>
  <c r="G203" i="2"/>
  <c r="F202" i="2"/>
  <c r="G202" i="2"/>
  <c r="F201" i="2"/>
  <c r="G201" i="2"/>
  <c r="F200" i="2"/>
  <c r="G200" i="2"/>
  <c r="F199" i="2"/>
  <c r="G199" i="2"/>
  <c r="F198" i="2"/>
  <c r="G198" i="2"/>
  <c r="F197" i="2"/>
  <c r="G197" i="2"/>
  <c r="F196" i="2"/>
  <c r="G196" i="2"/>
  <c r="F195" i="2"/>
  <c r="G195" i="2"/>
  <c r="F194" i="2"/>
  <c r="G194" i="2"/>
  <c r="F193" i="2"/>
  <c r="G193" i="2"/>
  <c r="F192" i="2"/>
  <c r="G192" i="2"/>
  <c r="F191" i="2"/>
  <c r="G191" i="2"/>
  <c r="F190" i="2"/>
  <c r="G190" i="2"/>
  <c r="F189" i="2"/>
  <c r="G189" i="2"/>
  <c r="F188" i="2"/>
  <c r="G188" i="2"/>
  <c r="F187" i="2"/>
  <c r="G187" i="2"/>
  <c r="F186" i="2"/>
  <c r="G186" i="2"/>
  <c r="F185" i="2"/>
  <c r="G185" i="2"/>
  <c r="F184" i="2"/>
  <c r="G184" i="2"/>
  <c r="F183" i="2"/>
  <c r="G183" i="2"/>
  <c r="F182" i="2"/>
  <c r="G182" i="2"/>
  <c r="F181" i="2"/>
  <c r="G181" i="2"/>
  <c r="F180" i="2"/>
  <c r="G180" i="2"/>
  <c r="F179" i="2"/>
  <c r="G179" i="2"/>
  <c r="F178" i="2"/>
  <c r="G178" i="2"/>
  <c r="F177" i="2"/>
  <c r="G177" i="2"/>
  <c r="F176" i="2"/>
  <c r="G176" i="2"/>
  <c r="F175" i="2"/>
  <c r="G175" i="2"/>
  <c r="F174" i="2"/>
  <c r="G174" i="2"/>
  <c r="F173" i="2"/>
  <c r="G173" i="2"/>
  <c r="F172" i="2"/>
  <c r="G172" i="2"/>
  <c r="F171" i="2"/>
  <c r="G171" i="2"/>
  <c r="F170" i="2"/>
  <c r="G170" i="2"/>
  <c r="F169" i="2"/>
  <c r="G169" i="2"/>
  <c r="F168" i="2"/>
  <c r="G168" i="2"/>
  <c r="F167" i="2"/>
  <c r="G167" i="2"/>
  <c r="F166" i="2"/>
  <c r="G166" i="2"/>
  <c r="F165" i="2"/>
  <c r="G165" i="2"/>
  <c r="F164" i="2"/>
  <c r="G164" i="2"/>
  <c r="F163" i="2"/>
  <c r="G163" i="2"/>
  <c r="F162" i="2"/>
  <c r="G162" i="2"/>
  <c r="F161" i="2"/>
  <c r="G161" i="2"/>
  <c r="F160" i="2"/>
  <c r="G160" i="2"/>
  <c r="F159" i="2"/>
  <c r="G159" i="2"/>
  <c r="F158" i="2"/>
  <c r="G158" i="2"/>
  <c r="F157" i="2"/>
  <c r="G157" i="2"/>
  <c r="F156" i="2"/>
  <c r="G156" i="2"/>
  <c r="F155" i="2"/>
  <c r="G155" i="2"/>
  <c r="F154" i="2"/>
  <c r="G154" i="2"/>
  <c r="F153" i="2"/>
  <c r="G153" i="2"/>
  <c r="F152" i="2"/>
  <c r="G152" i="2"/>
  <c r="F151" i="2"/>
  <c r="G151" i="2"/>
  <c r="F150" i="2"/>
  <c r="G150" i="2"/>
  <c r="F149" i="2"/>
  <c r="G149" i="2"/>
  <c r="F148" i="2"/>
  <c r="G148" i="2"/>
  <c r="F147" i="2"/>
  <c r="G147" i="2"/>
  <c r="F146" i="2"/>
  <c r="G146" i="2"/>
  <c r="F145" i="2"/>
  <c r="G145" i="2"/>
  <c r="F144" i="2"/>
  <c r="G144" i="2"/>
  <c r="F143" i="2"/>
  <c r="G143" i="2"/>
  <c r="F142" i="2"/>
  <c r="G142" i="2"/>
  <c r="F141" i="2"/>
  <c r="G141" i="2"/>
  <c r="F140" i="2"/>
  <c r="G140" i="2"/>
  <c r="F139" i="2"/>
  <c r="G139" i="2"/>
  <c r="F138" i="2"/>
  <c r="G138" i="2"/>
  <c r="F137" i="2"/>
  <c r="G137" i="2"/>
  <c r="F136" i="2"/>
  <c r="G136" i="2"/>
  <c r="F135" i="2"/>
  <c r="G135" i="2"/>
  <c r="F134" i="2"/>
  <c r="G134" i="2"/>
  <c r="F133" i="2"/>
  <c r="G133" i="2"/>
  <c r="F132" i="2"/>
  <c r="G132" i="2"/>
  <c r="F131" i="2"/>
  <c r="G131" i="2"/>
  <c r="F130" i="2"/>
  <c r="G130" i="2"/>
  <c r="F129" i="2"/>
  <c r="G129" i="2"/>
  <c r="F128" i="2"/>
  <c r="G128" i="2"/>
  <c r="F127" i="2"/>
  <c r="G127" i="2"/>
  <c r="F126" i="2"/>
  <c r="G126" i="2"/>
  <c r="F125" i="2"/>
  <c r="G125" i="2"/>
  <c r="F124" i="2"/>
  <c r="G124" i="2"/>
  <c r="F123" i="2"/>
  <c r="G123" i="2"/>
  <c r="F122" i="2"/>
  <c r="G122" i="2"/>
  <c r="F121" i="2"/>
  <c r="G121" i="2"/>
  <c r="F120" i="2"/>
  <c r="G120" i="2"/>
  <c r="F119" i="2"/>
  <c r="G119" i="2"/>
  <c r="F118" i="2"/>
  <c r="G118" i="2"/>
  <c r="F117" i="2"/>
  <c r="G117" i="2"/>
  <c r="F116" i="2"/>
  <c r="G116" i="2"/>
  <c r="F115" i="2"/>
  <c r="G115" i="2"/>
  <c r="F114" i="2"/>
  <c r="G114" i="2"/>
  <c r="F113" i="2"/>
  <c r="G113" i="2"/>
  <c r="F112" i="2"/>
  <c r="G112" i="2"/>
  <c r="F111" i="2"/>
  <c r="G111" i="2"/>
  <c r="F110" i="2"/>
  <c r="G110" i="2"/>
  <c r="F109" i="2"/>
  <c r="G109" i="2"/>
  <c r="F108" i="2"/>
  <c r="G108" i="2"/>
  <c r="F107" i="2"/>
  <c r="G107" i="2"/>
  <c r="F106" i="2"/>
  <c r="G106" i="2"/>
  <c r="F105" i="2"/>
  <c r="G105" i="2"/>
  <c r="F104" i="2"/>
  <c r="G104" i="2"/>
  <c r="F103" i="2"/>
  <c r="G103" i="2"/>
  <c r="F102" i="2"/>
  <c r="G102" i="2"/>
  <c r="F101" i="2"/>
  <c r="G101" i="2"/>
  <c r="F100" i="2"/>
  <c r="G100" i="2"/>
  <c r="F99" i="2"/>
  <c r="G99" i="2"/>
  <c r="F98" i="2"/>
  <c r="G98" i="2"/>
  <c r="F97" i="2"/>
  <c r="G97" i="2"/>
  <c r="F96" i="2"/>
  <c r="G96" i="2"/>
  <c r="F95" i="2"/>
  <c r="G95" i="2"/>
  <c r="F94" i="2"/>
  <c r="G94" i="2"/>
  <c r="F93" i="2"/>
  <c r="G93" i="2"/>
  <c r="F92" i="2"/>
  <c r="G92" i="2"/>
  <c r="F91" i="2"/>
  <c r="G91" i="2"/>
  <c r="F90" i="2"/>
  <c r="G90" i="2"/>
  <c r="F89" i="2"/>
  <c r="G89" i="2"/>
  <c r="F88" i="2"/>
  <c r="G88" i="2"/>
  <c r="F87" i="2"/>
  <c r="G87" i="2"/>
  <c r="F86" i="2"/>
  <c r="G86" i="2"/>
  <c r="F85" i="2"/>
  <c r="G85" i="2"/>
  <c r="F84" i="2"/>
  <c r="G84" i="2"/>
  <c r="F83" i="2"/>
  <c r="G83" i="2"/>
  <c r="F82" i="2"/>
  <c r="G82" i="2"/>
  <c r="F81" i="2"/>
  <c r="G81" i="2"/>
  <c r="F80" i="2"/>
  <c r="G80" i="2"/>
  <c r="F79" i="2"/>
  <c r="G79" i="2"/>
  <c r="F78" i="2"/>
  <c r="G78" i="2"/>
  <c r="F77" i="2"/>
  <c r="G77" i="2"/>
  <c r="F76" i="2"/>
  <c r="G76" i="2"/>
  <c r="F75" i="2"/>
  <c r="G75" i="2"/>
  <c r="F74" i="2"/>
  <c r="G74" i="2"/>
  <c r="F73" i="2"/>
  <c r="G73" i="2"/>
  <c r="F72" i="2"/>
  <c r="G72" i="2"/>
  <c r="F71" i="2"/>
  <c r="G71" i="2"/>
  <c r="F70" i="2"/>
  <c r="G70" i="2"/>
  <c r="F69" i="2"/>
  <c r="G69" i="2"/>
  <c r="F68" i="2"/>
  <c r="G68" i="2"/>
  <c r="F67" i="2"/>
  <c r="G67" i="2"/>
  <c r="F66" i="2"/>
  <c r="G66" i="2"/>
  <c r="F65" i="2"/>
  <c r="G65" i="2"/>
  <c r="F64" i="2"/>
  <c r="G64" i="2"/>
  <c r="F63" i="2"/>
  <c r="G63" i="2"/>
  <c r="F62" i="2"/>
  <c r="G62" i="2"/>
  <c r="F61" i="2"/>
  <c r="G61" i="2"/>
  <c r="F60" i="2"/>
  <c r="G60" i="2"/>
  <c r="F59" i="2"/>
  <c r="G59" i="2"/>
  <c r="F58" i="2"/>
  <c r="G58" i="2"/>
  <c r="F57" i="2"/>
  <c r="G57" i="2"/>
  <c r="F56" i="2"/>
  <c r="G56" i="2"/>
  <c r="F55" i="2"/>
  <c r="G55" i="2"/>
  <c r="F54" i="2"/>
  <c r="G54" i="2"/>
  <c r="F53" i="2"/>
  <c r="G53" i="2"/>
  <c r="F52" i="2"/>
  <c r="G52" i="2"/>
  <c r="F51" i="2"/>
  <c r="G51" i="2"/>
  <c r="F50" i="2"/>
  <c r="G50" i="2"/>
  <c r="F49" i="2"/>
  <c r="G49" i="2"/>
  <c r="F48" i="2"/>
  <c r="G48" i="2"/>
  <c r="F47" i="2"/>
  <c r="G47" i="2"/>
  <c r="F46" i="2"/>
  <c r="G46" i="2"/>
  <c r="F45" i="2"/>
  <c r="G45" i="2"/>
  <c r="F44" i="2"/>
  <c r="G44" i="2"/>
  <c r="F43" i="2"/>
  <c r="G43" i="2"/>
  <c r="F42" i="2"/>
  <c r="G42" i="2"/>
  <c r="F41" i="2"/>
  <c r="G41" i="2"/>
  <c r="F40" i="2"/>
  <c r="G40" i="2"/>
  <c r="F39" i="2"/>
  <c r="G39" i="2"/>
  <c r="F38" i="2"/>
  <c r="G38" i="2"/>
  <c r="F37" i="2"/>
  <c r="G37" i="2"/>
  <c r="F36" i="2"/>
  <c r="G36" i="2"/>
  <c r="F35" i="2"/>
  <c r="G35" i="2"/>
  <c r="F34" i="2"/>
  <c r="G34" i="2"/>
  <c r="F33" i="2"/>
  <c r="G33" i="2"/>
  <c r="F32" i="2"/>
  <c r="G32" i="2"/>
  <c r="F31" i="2"/>
  <c r="G31" i="2"/>
  <c r="F30" i="2"/>
  <c r="G30" i="2"/>
  <c r="F29" i="2"/>
  <c r="G29" i="2"/>
  <c r="F28" i="2"/>
  <c r="G28" i="2"/>
  <c r="F27" i="2"/>
  <c r="G27" i="2"/>
  <c r="F26" i="2"/>
  <c r="G26" i="2"/>
  <c r="F25" i="2"/>
  <c r="G25" i="2"/>
  <c r="F24" i="2"/>
  <c r="G24" i="2"/>
  <c r="F23" i="2"/>
  <c r="G23" i="2"/>
  <c r="F22" i="2"/>
  <c r="G22" i="2"/>
  <c r="F21" i="2"/>
  <c r="G21" i="2"/>
  <c r="F20" i="2"/>
  <c r="G20" i="2"/>
  <c r="F19" i="2"/>
  <c r="G19" i="2"/>
  <c r="F18" i="2"/>
  <c r="G18" i="2"/>
  <c r="F17" i="2"/>
  <c r="G17" i="2"/>
  <c r="F16" i="2"/>
  <c r="G16" i="2"/>
  <c r="F15" i="2"/>
  <c r="G15" i="2"/>
  <c r="F14" i="2"/>
  <c r="G14" i="2"/>
  <c r="F13" i="2"/>
  <c r="G13" i="2"/>
  <c r="F12" i="2"/>
  <c r="G12" i="2"/>
  <c r="F11" i="2"/>
  <c r="G11" i="2"/>
  <c r="F10" i="2"/>
  <c r="G9" i="2"/>
  <c r="G4" i="7" l="1"/>
  <c r="H257" i="7"/>
  <c r="H172" i="7"/>
  <c r="H148" i="7"/>
  <c r="H167" i="7"/>
  <c r="H247" i="7"/>
  <c r="H158" i="7"/>
  <c r="H45" i="7"/>
  <c r="H223" i="7"/>
  <c r="H120" i="7"/>
  <c r="H138" i="7"/>
  <c r="H157" i="7"/>
  <c r="H75" i="7"/>
  <c r="H216" i="7"/>
  <c r="H46" i="7"/>
  <c r="H147" i="7"/>
  <c r="H39" i="7"/>
  <c r="H243" i="7"/>
  <c r="H177" i="7"/>
  <c r="H29" i="7"/>
  <c r="H127" i="7"/>
  <c r="H19" i="7"/>
  <c r="H117" i="7"/>
  <c r="H189" i="7"/>
  <c r="H9" i="7"/>
  <c r="H35" i="7"/>
  <c r="H233" i="7"/>
  <c r="H111" i="7"/>
  <c r="H109" i="7"/>
  <c r="H101" i="7"/>
  <c r="H44" i="7"/>
  <c r="H21" i="7"/>
  <c r="H230" i="7"/>
  <c r="H11" i="7"/>
  <c r="H13" i="7"/>
  <c r="H132" i="7"/>
  <c r="H41" i="7"/>
  <c r="H250" i="7"/>
  <c r="H31" i="7"/>
  <c r="H23" i="7"/>
  <c r="H142" i="7"/>
  <c r="H193" i="7"/>
  <c r="H114" i="7"/>
  <c r="H225" i="7"/>
  <c r="H27" i="7"/>
  <c r="H61" i="7"/>
  <c r="H71" i="7"/>
  <c r="H81" i="7"/>
  <c r="H43" i="7"/>
  <c r="H162" i="7"/>
  <c r="H213" i="7"/>
  <c r="H134" i="7"/>
  <c r="H56" i="7"/>
  <c r="H110" i="7"/>
  <c r="H171" i="7"/>
  <c r="H151" i="7"/>
  <c r="H42" i="7"/>
  <c r="H83" i="7"/>
  <c r="H202" i="7"/>
  <c r="H253" i="7"/>
  <c r="H174" i="7"/>
  <c r="H24" i="7"/>
  <c r="H246" i="7"/>
  <c r="H106" i="7"/>
  <c r="H85" i="7"/>
  <c r="H239" i="7"/>
  <c r="H187" i="7"/>
  <c r="H28" i="7"/>
  <c r="H48" i="7"/>
  <c r="H248" i="7"/>
  <c r="H52" i="7"/>
  <c r="H93" i="7"/>
  <c r="H212" i="7"/>
  <c r="H184" i="7"/>
  <c r="H130" i="7"/>
  <c r="H201" i="7"/>
  <c r="H161" i="7"/>
  <c r="H150" i="7"/>
  <c r="H241" i="7"/>
  <c r="H181" i="7"/>
  <c r="H62" i="7"/>
  <c r="H103" i="7"/>
  <c r="H222" i="7"/>
  <c r="H194" i="7"/>
  <c r="H76" i="7"/>
  <c r="H126" i="7"/>
  <c r="H105" i="7"/>
  <c r="H59" i="7"/>
  <c r="H207" i="7"/>
  <c r="H68" i="7"/>
  <c r="H204" i="7"/>
  <c r="H170" i="7"/>
  <c r="H50" i="7"/>
  <c r="H191" i="7"/>
  <c r="H72" i="7"/>
  <c r="H113" i="7"/>
  <c r="H232" i="7"/>
  <c r="H200" i="7"/>
  <c r="H70" i="7"/>
  <c r="H211" i="7"/>
  <c r="H82" i="7"/>
  <c r="H123" i="7"/>
  <c r="H242" i="7"/>
  <c r="H214" i="7"/>
  <c r="H236" i="7"/>
  <c r="H166" i="7"/>
  <c r="H240" i="7"/>
  <c r="H100" i="7"/>
  <c r="H221" i="7"/>
  <c r="H92" i="7"/>
  <c r="H133" i="7"/>
  <c r="H252" i="7"/>
  <c r="H224" i="7"/>
  <c r="H176" i="7"/>
  <c r="H135" i="7"/>
  <c r="H140" i="7"/>
  <c r="H251" i="7"/>
  <c r="H153" i="7"/>
  <c r="H244" i="7"/>
  <c r="H26" i="7"/>
  <c r="H206" i="7"/>
  <c r="H155" i="7"/>
  <c r="H60" i="7"/>
  <c r="H84" i="7"/>
  <c r="H96" i="7"/>
  <c r="H95" i="7"/>
  <c r="H17" i="7"/>
  <c r="H129" i="7"/>
  <c r="H217" i="7"/>
  <c r="H218" i="7"/>
  <c r="H90" i="7"/>
  <c r="H33" i="7"/>
  <c r="H125" i="7"/>
  <c r="H149" i="7"/>
  <c r="H237" i="7"/>
  <c r="H238" i="7"/>
  <c r="H12" i="7"/>
  <c r="H53" i="7"/>
  <c r="H159" i="7"/>
  <c r="H80" i="7"/>
  <c r="H94" i="7"/>
  <c r="H136" i="7"/>
  <c r="H115" i="7"/>
  <c r="H37" i="7"/>
  <c r="H139" i="7"/>
  <c r="H227" i="7"/>
  <c r="H228" i="7"/>
  <c r="H104" i="7"/>
  <c r="H186" i="7"/>
  <c r="H124" i="7"/>
  <c r="H145" i="7"/>
  <c r="H160" i="7"/>
  <c r="H163" i="7"/>
  <c r="H234" i="7"/>
  <c r="H66" i="7"/>
  <c r="H195" i="7"/>
  <c r="H199" i="7"/>
  <c r="H67" i="7"/>
  <c r="H88" i="7"/>
  <c r="H180" i="7"/>
  <c r="H173" i="7"/>
  <c r="H254" i="7"/>
  <c r="H86" i="7"/>
  <c r="H205" i="7"/>
  <c r="H209" i="7"/>
  <c r="H77" i="7"/>
  <c r="H98" i="7"/>
  <c r="H190" i="7"/>
  <c r="H183" i="7"/>
  <c r="H16" i="7"/>
  <c r="H116" i="7"/>
  <c r="H215" i="7"/>
  <c r="H219" i="7"/>
  <c r="H87" i="7"/>
  <c r="H108" i="7"/>
  <c r="H210" i="7"/>
  <c r="H112" i="7"/>
  <c r="H36" i="7"/>
  <c r="H156" i="7"/>
  <c r="H235" i="7"/>
  <c r="H229" i="7"/>
  <c r="H97" i="7"/>
  <c r="H18" i="7"/>
  <c r="H118" i="7"/>
  <c r="H220" i="7"/>
  <c r="H122" i="7"/>
  <c r="H14" i="7"/>
  <c r="H146" i="7"/>
  <c r="H196" i="7"/>
  <c r="H245" i="7"/>
  <c r="H249" i="7"/>
  <c r="H107" i="7"/>
  <c r="H38" i="7"/>
  <c r="H128" i="7"/>
  <c r="H51" i="7"/>
  <c r="H152" i="7"/>
  <c r="H203" i="7"/>
  <c r="H34" i="7"/>
  <c r="H182" i="7"/>
  <c r="H78" i="7"/>
  <c r="H58" i="7"/>
  <c r="H137" i="7"/>
  <c r="H47" i="7"/>
  <c r="H121" i="7"/>
  <c r="H99" i="7"/>
  <c r="H164" i="7"/>
  <c r="H143" i="7"/>
  <c r="H102" i="7"/>
  <c r="H30" i="7"/>
  <c r="H20" i="7"/>
  <c r="H65" i="7"/>
  <c r="H192" i="7"/>
  <c r="H168" i="7"/>
  <c r="H197" i="7"/>
  <c r="H10" i="7"/>
  <c r="H57" i="7"/>
  <c r="H25" i="7"/>
  <c r="H231" i="7"/>
  <c r="H169" i="7"/>
  <c r="H15" i="7"/>
  <c r="H131" i="7"/>
  <c r="H119" i="7"/>
  <c r="H89" i="7"/>
  <c r="H154" i="7"/>
  <c r="H73" i="7"/>
  <c r="H32" i="7"/>
  <c r="H178" i="7"/>
  <c r="H55" i="7"/>
  <c r="H179" i="7"/>
  <c r="H141" i="7"/>
  <c r="H79" i="7"/>
  <c r="H255" i="7"/>
  <c r="H144" i="7"/>
  <c r="H63" i="7"/>
  <c r="H22" i="7"/>
  <c r="G4" i="6"/>
  <c r="G4" i="5"/>
  <c r="G4" i="8"/>
  <c r="G4" i="3"/>
  <c r="G4" i="2"/>
  <c r="H225" i="2" s="1"/>
  <c r="G4" i="4"/>
  <c r="H91" i="7" l="1"/>
  <c r="H54" i="7"/>
  <c r="H226" i="7"/>
  <c r="H64" i="7"/>
  <c r="H175" i="7"/>
  <c r="H198" i="7"/>
  <c r="H74" i="7"/>
  <c r="H185" i="7"/>
  <c r="H49" i="7"/>
  <c r="H256" i="7"/>
  <c r="H165" i="7"/>
  <c r="H69" i="7"/>
  <c r="H40" i="7"/>
  <c r="H188" i="7"/>
  <c r="H208" i="7"/>
  <c r="H171" i="4"/>
  <c r="H109" i="4"/>
  <c r="H250" i="4"/>
  <c r="H201" i="4"/>
  <c r="H22" i="4"/>
  <c r="H119" i="4"/>
  <c r="H133" i="4"/>
  <c r="H211" i="4"/>
  <c r="H32" i="4"/>
  <c r="H53" i="4"/>
  <c r="H33" i="4"/>
  <c r="H204" i="4"/>
  <c r="H35" i="4"/>
  <c r="H187" i="4"/>
  <c r="H225" i="4"/>
  <c r="H151" i="4"/>
  <c r="H21" i="4"/>
  <c r="H139" i="4"/>
  <c r="H20" i="4"/>
  <c r="H231" i="4"/>
  <c r="H52" i="4"/>
  <c r="H153" i="4"/>
  <c r="H63" i="4"/>
  <c r="H224" i="4"/>
  <c r="H85" i="4"/>
  <c r="H65" i="4"/>
  <c r="H207" i="4"/>
  <c r="H61" i="4"/>
  <c r="H179" i="4"/>
  <c r="H60" i="4"/>
  <c r="H92" i="4"/>
  <c r="H113" i="4"/>
  <c r="H193" i="4"/>
  <c r="H135" i="4"/>
  <c r="H247" i="4"/>
  <c r="H44" i="4"/>
  <c r="H255" i="4"/>
  <c r="H218" i="4"/>
  <c r="H146" i="4"/>
  <c r="H189" i="4"/>
  <c r="H70" i="4"/>
  <c r="H102" i="4"/>
  <c r="H71" i="4"/>
  <c r="H81" i="4"/>
  <c r="H199" i="4"/>
  <c r="H80" i="4"/>
  <c r="H112" i="4"/>
  <c r="H143" i="4"/>
  <c r="H213" i="4"/>
  <c r="H64" i="4"/>
  <c r="H28" i="4"/>
  <c r="H238" i="4"/>
  <c r="H166" i="4"/>
  <c r="H27" i="4"/>
  <c r="H122" i="4"/>
  <c r="H163" i="4"/>
  <c r="H223" i="4"/>
  <c r="H172" i="4"/>
  <c r="H91" i="4"/>
  <c r="H9" i="4"/>
  <c r="H209" i="4"/>
  <c r="H90" i="4"/>
  <c r="H101" i="4"/>
  <c r="H19" i="4"/>
  <c r="H219" i="4"/>
  <c r="H100" i="4"/>
  <c r="H132" i="4"/>
  <c r="H243" i="4"/>
  <c r="H182" i="4"/>
  <c r="H111" i="4"/>
  <c r="H29" i="4"/>
  <c r="H229" i="4"/>
  <c r="H110" i="4"/>
  <c r="H142" i="4"/>
  <c r="H253" i="4"/>
  <c r="H192" i="4"/>
  <c r="H94" i="4"/>
  <c r="H131" i="4"/>
  <c r="H49" i="4"/>
  <c r="H249" i="4"/>
  <c r="H130" i="4"/>
  <c r="H190" i="4"/>
  <c r="H162" i="4"/>
  <c r="H212" i="4"/>
  <c r="H114" i="4"/>
  <c r="H181" i="4"/>
  <c r="H184" i="4"/>
  <c r="H215" i="4"/>
  <c r="H58" i="4"/>
  <c r="H116" i="4"/>
  <c r="H206" i="4"/>
  <c r="H137" i="4"/>
  <c r="H141" i="4"/>
  <c r="H10" i="4"/>
  <c r="H221" i="4"/>
  <c r="H245" i="4"/>
  <c r="H78" i="4"/>
  <c r="H136" i="4"/>
  <c r="H157" i="4"/>
  <c r="H30" i="4"/>
  <c r="H183" i="4"/>
  <c r="H191" i="4"/>
  <c r="H235" i="4"/>
  <c r="H68" i="4"/>
  <c r="H126" i="4"/>
  <c r="H216" i="4"/>
  <c r="H147" i="4"/>
  <c r="H226" i="4"/>
  <c r="H241" i="4"/>
  <c r="H88" i="4"/>
  <c r="H59" i="4"/>
  <c r="H140" i="4"/>
  <c r="H200" i="4"/>
  <c r="H13" i="4"/>
  <c r="H145" i="4"/>
  <c r="H14" i="4"/>
  <c r="H128" i="4"/>
  <c r="H198" i="4"/>
  <c r="H69" i="4"/>
  <c r="H150" i="4"/>
  <c r="H210" i="4"/>
  <c r="H43" i="4"/>
  <c r="H24" i="4"/>
  <c r="H138" i="4"/>
  <c r="H208" i="4"/>
  <c r="H79" i="4"/>
  <c r="H160" i="4"/>
  <c r="H220" i="4"/>
  <c r="H73" i="4"/>
  <c r="H202" i="4"/>
  <c r="H34" i="4"/>
  <c r="H148" i="4"/>
  <c r="H228" i="4"/>
  <c r="H17" i="4"/>
  <c r="H89" i="4"/>
  <c r="H170" i="4"/>
  <c r="H230" i="4"/>
  <c r="H173" i="4"/>
  <c r="H83" i="4"/>
  <c r="H174" i="4"/>
  <c r="H222" i="4"/>
  <c r="H177" i="4"/>
  <c r="H54" i="4"/>
  <c r="H158" i="4"/>
  <c r="H248" i="4"/>
  <c r="H16" i="4"/>
  <c r="H37" i="4"/>
  <c r="H99" i="4"/>
  <c r="H240" i="4"/>
  <c r="H12" i="4"/>
  <c r="H103" i="4"/>
  <c r="H194" i="4"/>
  <c r="H232" i="4"/>
  <c r="H15" i="4"/>
  <c r="H197" i="4"/>
  <c r="H74" i="4"/>
  <c r="H168" i="4"/>
  <c r="H26" i="4"/>
  <c r="H47" i="4"/>
  <c r="H11" i="4"/>
  <c r="H129" i="4"/>
  <c r="H42" i="4"/>
  <c r="H123" i="4"/>
  <c r="H214" i="4"/>
  <c r="H242" i="4"/>
  <c r="H251" i="4"/>
  <c r="H124" i="4"/>
  <c r="H18" i="4"/>
  <c r="H246" i="4"/>
  <c r="H46" i="4"/>
  <c r="H155" i="4"/>
  <c r="H205" i="4"/>
  <c r="H77" i="4"/>
  <c r="H127" i="4"/>
  <c r="H93" i="4"/>
  <c r="H134" i="4"/>
  <c r="H38" i="4"/>
  <c r="H256" i="4"/>
  <c r="H108" i="4"/>
  <c r="H55" i="4"/>
  <c r="H56" i="4"/>
  <c r="H95" i="4"/>
  <c r="H96" i="4"/>
  <c r="H117" i="4"/>
  <c r="H41" i="4"/>
  <c r="H72" i="4"/>
  <c r="H82" i="4"/>
  <c r="H167" i="4"/>
  <c r="H186" i="4"/>
  <c r="H39" i="4"/>
  <c r="H180" i="4"/>
  <c r="H144" i="4"/>
  <c r="H48" i="4"/>
  <c r="H159" i="4"/>
  <c r="H169" i="4"/>
  <c r="H118" i="4"/>
  <c r="H239" i="4"/>
  <c r="H25" i="4"/>
  <c r="H176" i="4"/>
  <c r="H149" i="4"/>
  <c r="H252" i="4"/>
  <c r="H154" i="4"/>
  <c r="H98" i="4"/>
  <c r="H36" i="4"/>
  <c r="H164" i="4"/>
  <c r="H66" i="4"/>
  <c r="H87" i="4"/>
  <c r="H23" i="4"/>
  <c r="H236" i="4"/>
  <c r="H105" i="4"/>
  <c r="H217" i="4"/>
  <c r="H175" i="4"/>
  <c r="H76" i="4"/>
  <c r="H57" i="4"/>
  <c r="H115" i="4"/>
  <c r="H227" i="4"/>
  <c r="H185" i="4"/>
  <c r="H195" i="4"/>
  <c r="H86" i="4"/>
  <c r="H67" i="4"/>
  <c r="H237" i="4"/>
  <c r="H51" i="4"/>
  <c r="H178" i="4"/>
  <c r="H104" i="4"/>
  <c r="H40" i="4"/>
  <c r="H203" i="4"/>
  <c r="H257" i="4"/>
  <c r="H106" i="4"/>
  <c r="H121" i="4"/>
  <c r="H152" i="4"/>
  <c r="H165" i="4"/>
  <c r="H84" i="4"/>
  <c r="H188" i="4"/>
  <c r="H196" i="4"/>
  <c r="H50" i="4"/>
  <c r="H156" i="4"/>
  <c r="H97" i="4"/>
  <c r="H120" i="4"/>
  <c r="H107" i="4"/>
  <c r="H31" i="4"/>
  <c r="H244" i="4"/>
  <c r="H254" i="4"/>
  <c r="H125" i="4"/>
  <c r="H62" i="4"/>
  <c r="H234" i="4"/>
  <c r="H45" i="4"/>
  <c r="H75" i="4"/>
  <c r="H161" i="4"/>
  <c r="H233" i="4"/>
  <c r="H244" i="8"/>
  <c r="H44" i="8"/>
  <c r="H23" i="8"/>
  <c r="H151" i="8"/>
  <c r="H130" i="8"/>
  <c r="H82" i="8"/>
  <c r="H212" i="8"/>
  <c r="H143" i="8"/>
  <c r="H114" i="8"/>
  <c r="H140" i="8"/>
  <c r="H92" i="8"/>
  <c r="H222" i="8"/>
  <c r="H124" i="8"/>
  <c r="H253" i="8"/>
  <c r="H66" i="8"/>
  <c r="H230" i="8"/>
  <c r="H160" i="8"/>
  <c r="H31" i="8"/>
  <c r="H242" i="8"/>
  <c r="H144" i="8"/>
  <c r="H96" i="8"/>
  <c r="H200" i="8"/>
  <c r="H81" i="8"/>
  <c r="H36" i="8"/>
  <c r="H25" i="8"/>
  <c r="H146" i="8"/>
  <c r="H55" i="8"/>
  <c r="H176" i="8"/>
  <c r="H29" i="8"/>
  <c r="H199" i="8"/>
  <c r="H246" i="8"/>
  <c r="H14" i="8"/>
  <c r="H210" i="8"/>
  <c r="H101" i="8"/>
  <c r="H220" i="8"/>
  <c r="H111" i="8"/>
  <c r="H33" i="8"/>
  <c r="H24" i="8"/>
  <c r="H154" i="8"/>
  <c r="H245" i="8"/>
  <c r="H75" i="8"/>
  <c r="H196" i="8"/>
  <c r="H158" i="8"/>
  <c r="H10" i="8"/>
  <c r="H219" i="8"/>
  <c r="H28" i="8"/>
  <c r="H19" i="8"/>
  <c r="H34" i="8"/>
  <c r="H22" i="8"/>
  <c r="H121" i="8"/>
  <c r="H43" i="8"/>
  <c r="H72" i="8"/>
  <c r="H141" i="8"/>
  <c r="H53" i="8"/>
  <c r="H165" i="8"/>
  <c r="H153" i="8"/>
  <c r="H174" i="8"/>
  <c r="H50" i="8"/>
  <c r="H171" i="8"/>
  <c r="H63" i="8"/>
  <c r="H175" i="8"/>
  <c r="H163" i="8"/>
  <c r="H184" i="8"/>
  <c r="H136" i="8"/>
  <c r="H105" i="8"/>
  <c r="H11" i="8"/>
  <c r="H51" i="8"/>
  <c r="H70" i="8"/>
  <c r="H201" i="8"/>
  <c r="H102" i="8"/>
  <c r="H152" i="8"/>
  <c r="H83" i="8"/>
  <c r="H54" i="8"/>
  <c r="H195" i="8"/>
  <c r="H183" i="8"/>
  <c r="H204" i="8"/>
  <c r="H125" i="8"/>
  <c r="H91" i="8"/>
  <c r="H131" i="8"/>
  <c r="H110" i="8"/>
  <c r="H52" i="8"/>
  <c r="H192" i="8"/>
  <c r="H94" i="8"/>
  <c r="H249" i="8"/>
  <c r="H214" i="8"/>
  <c r="H116" i="8"/>
  <c r="H145" i="8"/>
  <c r="H168" i="8"/>
  <c r="H119" i="8"/>
  <c r="H40" i="8"/>
  <c r="H227" i="8"/>
  <c r="H232" i="8"/>
  <c r="H251" i="8"/>
  <c r="H234" i="8"/>
  <c r="H188" i="8"/>
  <c r="H139" i="8"/>
  <c r="H169" i="8"/>
  <c r="H181" i="8"/>
  <c r="H240" i="8"/>
  <c r="H120" i="8"/>
  <c r="H62" i="8"/>
  <c r="H202" i="8"/>
  <c r="H104" i="8"/>
  <c r="H250" i="8"/>
  <c r="H224" i="8"/>
  <c r="H126" i="8"/>
  <c r="H254" i="8"/>
  <c r="H178" i="8"/>
  <c r="H129" i="8"/>
  <c r="H159" i="8"/>
  <c r="H237" i="8"/>
  <c r="H150" i="8"/>
  <c r="H134" i="8"/>
  <c r="H27" i="8"/>
  <c r="H170" i="8"/>
  <c r="H252" i="8"/>
  <c r="H76" i="8"/>
  <c r="H37" i="8"/>
  <c r="H198" i="8"/>
  <c r="H149" i="8"/>
  <c r="H122" i="8"/>
  <c r="H93" i="8"/>
  <c r="H206" i="8"/>
  <c r="H238" i="8"/>
  <c r="H239" i="8"/>
  <c r="H57" i="8"/>
  <c r="H78" i="8"/>
  <c r="H132" i="8"/>
  <c r="H103" i="8"/>
  <c r="H226" i="8"/>
  <c r="H67" i="8"/>
  <c r="H88" i="8"/>
  <c r="H142" i="8"/>
  <c r="H113" i="8"/>
  <c r="H15" i="8"/>
  <c r="H26" i="8"/>
  <c r="H77" i="8"/>
  <c r="H112" i="8"/>
  <c r="H123" i="8"/>
  <c r="H87" i="8"/>
  <c r="H108" i="8"/>
  <c r="H133" i="8"/>
  <c r="H216" i="8"/>
  <c r="H97" i="8"/>
  <c r="H118" i="8"/>
  <c r="H21" i="8"/>
  <c r="H241" i="8"/>
  <c r="H46" i="8"/>
  <c r="H166" i="8"/>
  <c r="H189" i="8"/>
  <c r="H117" i="8"/>
  <c r="H197" i="8"/>
  <c r="H48" i="8"/>
  <c r="H256" i="8"/>
  <c r="H128" i="8"/>
  <c r="H215" i="8"/>
  <c r="H95" i="8"/>
  <c r="H138" i="8"/>
  <c r="H60" i="8"/>
  <c r="H225" i="8"/>
  <c r="H42" i="8"/>
  <c r="H49" i="8"/>
  <c r="H109" i="8"/>
  <c r="H38" i="8"/>
  <c r="H191" i="8"/>
  <c r="H157" i="8"/>
  <c r="H162" i="8"/>
  <c r="H17" i="8"/>
  <c r="H56" i="8"/>
  <c r="H16" i="8"/>
  <c r="H186" i="8"/>
  <c r="H209" i="8"/>
  <c r="H127" i="8"/>
  <c r="H207" i="8"/>
  <c r="H58" i="8"/>
  <c r="H100" i="8"/>
  <c r="H84" i="8"/>
  <c r="H193" i="8"/>
  <c r="H71" i="8"/>
  <c r="H203" i="8"/>
  <c r="H211" i="8"/>
  <c r="H155" i="8"/>
  <c r="H47" i="8"/>
  <c r="H179" i="8"/>
  <c r="H86" i="8"/>
  <c r="H45" i="8"/>
  <c r="H229" i="8"/>
  <c r="H137" i="8"/>
  <c r="H217" i="8"/>
  <c r="H68" i="8"/>
  <c r="H85" i="8"/>
  <c r="H148" i="8"/>
  <c r="H164" i="8"/>
  <c r="H213" i="8"/>
  <c r="H185" i="8"/>
  <c r="H106" i="8"/>
  <c r="H65" i="8"/>
  <c r="H147" i="8"/>
  <c r="H98" i="8"/>
  <c r="H205" i="8"/>
  <c r="H115" i="8"/>
  <c r="H13" i="8"/>
  <c r="H167" i="8"/>
  <c r="H80" i="8"/>
  <c r="H12" i="8"/>
  <c r="H64" i="8"/>
  <c r="H135" i="8"/>
  <c r="H247" i="8"/>
  <c r="H90" i="8"/>
  <c r="H32" i="8"/>
  <c r="H74" i="8"/>
  <c r="H35" i="8"/>
  <c r="H20" i="8"/>
  <c r="H257" i="8"/>
  <c r="H89" i="8"/>
  <c r="H228" i="8"/>
  <c r="H223" i="8"/>
  <c r="H30" i="8"/>
  <c r="H180" i="8"/>
  <c r="H161" i="8"/>
  <c r="H194" i="8"/>
  <c r="H59" i="8"/>
  <c r="H61" i="8"/>
  <c r="H221" i="8"/>
  <c r="H172" i="8"/>
  <c r="H235" i="8"/>
  <c r="H233" i="8"/>
  <c r="H182" i="8"/>
  <c r="H187" i="8"/>
  <c r="H190" i="8"/>
  <c r="H255" i="8"/>
  <c r="H39" i="8"/>
  <c r="H69" i="8"/>
  <c r="H73" i="8"/>
  <c r="H79" i="8"/>
  <c r="H173" i="8"/>
  <c r="H218" i="8"/>
  <c r="H243" i="8"/>
  <c r="H107" i="8"/>
  <c r="H9" i="8"/>
  <c r="H236" i="8"/>
  <c r="H208" i="8"/>
  <c r="H41" i="8"/>
  <c r="H99" i="8"/>
  <c r="H248" i="8"/>
  <c r="H18" i="8"/>
  <c r="H177" i="8"/>
  <c r="H231" i="8"/>
  <c r="H156" i="8"/>
  <c r="H57" i="5"/>
  <c r="H79" i="5"/>
  <c r="H119" i="5"/>
  <c r="H60" i="5"/>
  <c r="H173" i="5"/>
  <c r="H233" i="5"/>
  <c r="H201" i="5"/>
  <c r="H152" i="5"/>
  <c r="H179" i="5"/>
  <c r="H99" i="5"/>
  <c r="H139" i="5"/>
  <c r="H70" i="5"/>
  <c r="H243" i="5"/>
  <c r="H11" i="5"/>
  <c r="H211" i="5"/>
  <c r="H162" i="5"/>
  <c r="H33" i="5"/>
  <c r="H195" i="5"/>
  <c r="H245" i="5"/>
  <c r="H74" i="5"/>
  <c r="H109" i="5"/>
  <c r="H129" i="5"/>
  <c r="H189" i="5"/>
  <c r="H90" i="5"/>
  <c r="H31" i="5"/>
  <c r="H231" i="5"/>
  <c r="H182" i="5"/>
  <c r="H53" i="5"/>
  <c r="H219" i="5"/>
  <c r="H130" i="5"/>
  <c r="H93" i="5"/>
  <c r="H71" i="5"/>
  <c r="H22" i="5"/>
  <c r="H222" i="5"/>
  <c r="H15" i="5"/>
  <c r="H175" i="5"/>
  <c r="H134" i="5"/>
  <c r="H88" i="5"/>
  <c r="H236" i="5"/>
  <c r="H97" i="5"/>
  <c r="H140" i="5"/>
  <c r="H103" i="5"/>
  <c r="H81" i="5"/>
  <c r="H32" i="5"/>
  <c r="H232" i="5"/>
  <c r="H229" i="5"/>
  <c r="H249" i="5"/>
  <c r="H150" i="5"/>
  <c r="H113" i="5"/>
  <c r="H91" i="5"/>
  <c r="H42" i="5"/>
  <c r="H242" i="5"/>
  <c r="H45" i="5"/>
  <c r="H35" i="5"/>
  <c r="H75" i="5"/>
  <c r="H18" i="5"/>
  <c r="H154" i="5"/>
  <c r="H36" i="5"/>
  <c r="H108" i="5"/>
  <c r="H256" i="5"/>
  <c r="H117" i="5"/>
  <c r="H55" i="5"/>
  <c r="H160" i="5"/>
  <c r="H123" i="5"/>
  <c r="H101" i="5"/>
  <c r="H52" i="5"/>
  <c r="H252" i="5"/>
  <c r="H170" i="5"/>
  <c r="H133" i="5"/>
  <c r="H111" i="5"/>
  <c r="H62" i="5"/>
  <c r="H105" i="5"/>
  <c r="H180" i="5"/>
  <c r="H143" i="5"/>
  <c r="H121" i="5"/>
  <c r="H72" i="5"/>
  <c r="H125" i="5"/>
  <c r="H48" i="5"/>
  <c r="H184" i="5"/>
  <c r="H200" i="5"/>
  <c r="H163" i="5"/>
  <c r="H141" i="5"/>
  <c r="H92" i="5"/>
  <c r="H24" i="5"/>
  <c r="H155" i="5"/>
  <c r="H204" i="5"/>
  <c r="H69" i="5"/>
  <c r="H40" i="5"/>
  <c r="H213" i="5"/>
  <c r="H181" i="5"/>
  <c r="H185" i="5"/>
  <c r="H84" i="5"/>
  <c r="H158" i="5"/>
  <c r="H226" i="5"/>
  <c r="H247" i="5"/>
  <c r="H159" i="5"/>
  <c r="H80" i="5"/>
  <c r="H221" i="5"/>
  <c r="H215" i="5"/>
  <c r="H209" i="5"/>
  <c r="H100" i="5"/>
  <c r="H241" i="5"/>
  <c r="H89" i="5"/>
  <c r="H50" i="5"/>
  <c r="H223" i="5"/>
  <c r="H191" i="5"/>
  <c r="H205" i="5"/>
  <c r="H94" i="5"/>
  <c r="H168" i="5"/>
  <c r="H246" i="5"/>
  <c r="H257" i="5"/>
  <c r="H253" i="5"/>
  <c r="H104" i="5"/>
  <c r="H178" i="5"/>
  <c r="H225" i="5"/>
  <c r="H114" i="5"/>
  <c r="H26" i="5"/>
  <c r="H188" i="5"/>
  <c r="H169" i="5"/>
  <c r="H210" i="5"/>
  <c r="H102" i="5"/>
  <c r="H44" i="5"/>
  <c r="H174" i="5"/>
  <c r="H228" i="5"/>
  <c r="H96" i="5"/>
  <c r="H27" i="5"/>
  <c r="H107" i="5"/>
  <c r="H199" i="5"/>
  <c r="H220" i="5"/>
  <c r="H112" i="5"/>
  <c r="H54" i="5"/>
  <c r="H65" i="5"/>
  <c r="H194" i="5"/>
  <c r="H238" i="5"/>
  <c r="H106" i="5"/>
  <c r="H37" i="5"/>
  <c r="H127" i="5"/>
  <c r="H230" i="5"/>
  <c r="H122" i="5"/>
  <c r="H115" i="5"/>
  <c r="H214" i="5"/>
  <c r="H248" i="5"/>
  <c r="H116" i="5"/>
  <c r="H47" i="5"/>
  <c r="H137" i="5"/>
  <c r="H240" i="5"/>
  <c r="H132" i="5"/>
  <c r="H224" i="5"/>
  <c r="H126" i="5"/>
  <c r="H147" i="5"/>
  <c r="H250" i="5"/>
  <c r="H142" i="5"/>
  <c r="H234" i="5"/>
  <c r="H9" i="5"/>
  <c r="H136" i="5"/>
  <c r="H157" i="5"/>
  <c r="H21" i="5"/>
  <c r="H172" i="5"/>
  <c r="H239" i="5"/>
  <c r="H145" i="5"/>
  <c r="H29" i="5"/>
  <c r="H196" i="5"/>
  <c r="H177" i="5"/>
  <c r="H61" i="5"/>
  <c r="H227" i="5"/>
  <c r="H153" i="5"/>
  <c r="H237" i="5"/>
  <c r="H16" i="5"/>
  <c r="H148" i="5"/>
  <c r="H156" i="5"/>
  <c r="H166" i="5"/>
  <c r="H176" i="5"/>
  <c r="H59" i="5"/>
  <c r="H12" i="5"/>
  <c r="H255" i="5"/>
  <c r="H39" i="5"/>
  <c r="H206" i="5"/>
  <c r="H187" i="5"/>
  <c r="H217" i="5"/>
  <c r="H83" i="5"/>
  <c r="H23" i="5"/>
  <c r="H131" i="5"/>
  <c r="H43" i="5"/>
  <c r="H203" i="5"/>
  <c r="H171" i="5"/>
  <c r="H208" i="5"/>
  <c r="H77" i="5"/>
  <c r="H149" i="5"/>
  <c r="H82" i="5"/>
  <c r="H49" i="5"/>
  <c r="H216" i="5"/>
  <c r="H17" i="5"/>
  <c r="H197" i="5"/>
  <c r="H73" i="5"/>
  <c r="H13" i="5"/>
  <c r="H212" i="5"/>
  <c r="H124" i="5"/>
  <c r="H58" i="5"/>
  <c r="H30" i="5"/>
  <c r="H98" i="5"/>
  <c r="H167" i="5"/>
  <c r="H63" i="5"/>
  <c r="H41" i="5"/>
  <c r="H192" i="5"/>
  <c r="H207" i="5"/>
  <c r="H51" i="5"/>
  <c r="H202" i="5"/>
  <c r="H64" i="5"/>
  <c r="H244" i="5"/>
  <c r="H67" i="5"/>
  <c r="H95" i="5"/>
  <c r="H186" i="5"/>
  <c r="H10" i="5"/>
  <c r="H183" i="5"/>
  <c r="H151" i="5"/>
  <c r="H144" i="5"/>
  <c r="H68" i="5"/>
  <c r="H20" i="5"/>
  <c r="H193" i="5"/>
  <c r="H161" i="5"/>
  <c r="H164" i="5"/>
  <c r="H78" i="5"/>
  <c r="H76" i="5"/>
  <c r="H218" i="5"/>
  <c r="H110" i="5"/>
  <c r="H251" i="5"/>
  <c r="H85" i="5"/>
  <c r="H254" i="5"/>
  <c r="H46" i="5"/>
  <c r="H118" i="5"/>
  <c r="H146" i="5"/>
  <c r="H25" i="5"/>
  <c r="H87" i="5"/>
  <c r="H19" i="5"/>
  <c r="H120" i="5"/>
  <c r="H14" i="5"/>
  <c r="H135" i="5"/>
  <c r="H28" i="5"/>
  <c r="H56" i="5"/>
  <c r="H128" i="5"/>
  <c r="H190" i="5"/>
  <c r="H66" i="5"/>
  <c r="H34" i="5"/>
  <c r="H165" i="5"/>
  <c r="H38" i="5"/>
  <c r="H138" i="5"/>
  <c r="H235" i="5"/>
  <c r="H198" i="5"/>
  <c r="H86" i="5"/>
  <c r="H41" i="6"/>
  <c r="H11" i="6"/>
  <c r="H221" i="6"/>
  <c r="H52" i="6"/>
  <c r="H21" i="6"/>
  <c r="H231" i="6"/>
  <c r="H62" i="6"/>
  <c r="H145" i="6"/>
  <c r="H213" i="6"/>
  <c r="H234" i="6"/>
  <c r="H25" i="6"/>
  <c r="H250" i="6"/>
  <c r="H51" i="6"/>
  <c r="H251" i="6"/>
  <c r="H82" i="6"/>
  <c r="H14" i="6"/>
  <c r="H165" i="6"/>
  <c r="H233" i="6"/>
  <c r="H54" i="6"/>
  <c r="H254" i="6"/>
  <c r="H36" i="6"/>
  <c r="H20" i="6"/>
  <c r="H91" i="6"/>
  <c r="H122" i="6"/>
  <c r="H22" i="6"/>
  <c r="H205" i="6"/>
  <c r="H73" i="6"/>
  <c r="H94" i="6"/>
  <c r="H116" i="6"/>
  <c r="H98" i="6"/>
  <c r="H39" i="6"/>
  <c r="H159" i="6"/>
  <c r="H77" i="6"/>
  <c r="H101" i="6"/>
  <c r="H132" i="6"/>
  <c r="H32" i="6"/>
  <c r="H215" i="6"/>
  <c r="H40" i="6"/>
  <c r="H50" i="6"/>
  <c r="H111" i="6"/>
  <c r="H142" i="6"/>
  <c r="H225" i="6"/>
  <c r="H93" i="6"/>
  <c r="H114" i="6"/>
  <c r="H146" i="6"/>
  <c r="H118" i="6"/>
  <c r="H179" i="6"/>
  <c r="H97" i="6"/>
  <c r="H235" i="6"/>
  <c r="H103" i="6"/>
  <c r="H30" i="6"/>
  <c r="H70" i="6"/>
  <c r="H121" i="6"/>
  <c r="H152" i="6"/>
  <c r="H60" i="6"/>
  <c r="H80" i="6"/>
  <c r="H131" i="6"/>
  <c r="H162" i="6"/>
  <c r="H13" i="6"/>
  <c r="H45" i="6"/>
  <c r="H245" i="6"/>
  <c r="H113" i="6"/>
  <c r="H134" i="6"/>
  <c r="H90" i="6"/>
  <c r="H100" i="6"/>
  <c r="H141" i="6"/>
  <c r="H172" i="6"/>
  <c r="H23" i="6"/>
  <c r="H55" i="6"/>
  <c r="H255" i="6"/>
  <c r="H123" i="6"/>
  <c r="H144" i="6"/>
  <c r="H176" i="6"/>
  <c r="H110" i="6"/>
  <c r="H130" i="6"/>
  <c r="H140" i="6"/>
  <c r="H161" i="6"/>
  <c r="H192" i="6"/>
  <c r="H75" i="6"/>
  <c r="H143" i="6"/>
  <c r="H164" i="6"/>
  <c r="H150" i="6"/>
  <c r="H201" i="6"/>
  <c r="H242" i="6"/>
  <c r="H95" i="6"/>
  <c r="H83" i="6"/>
  <c r="H44" i="6"/>
  <c r="H88" i="6"/>
  <c r="H89" i="6"/>
  <c r="H167" i="6"/>
  <c r="H241" i="6"/>
  <c r="H74" i="6"/>
  <c r="H24" i="6"/>
  <c r="H125" i="6"/>
  <c r="H163" i="6"/>
  <c r="H84" i="6"/>
  <c r="H138" i="6"/>
  <c r="H211" i="6"/>
  <c r="H252" i="6"/>
  <c r="H105" i="6"/>
  <c r="H133" i="6"/>
  <c r="H64" i="6"/>
  <c r="H108" i="6"/>
  <c r="H99" i="6"/>
  <c r="H177" i="6"/>
  <c r="H115" i="6"/>
  <c r="H153" i="6"/>
  <c r="H128" i="6"/>
  <c r="H109" i="6"/>
  <c r="H17" i="6"/>
  <c r="H187" i="6"/>
  <c r="H18" i="6"/>
  <c r="H160" i="6"/>
  <c r="H185" i="6"/>
  <c r="H203" i="6"/>
  <c r="H174" i="6"/>
  <c r="H76" i="6"/>
  <c r="H66" i="6"/>
  <c r="H178" i="6"/>
  <c r="H169" i="6"/>
  <c r="H237" i="6"/>
  <c r="H180" i="6"/>
  <c r="H195" i="6"/>
  <c r="H223" i="6"/>
  <c r="H184" i="6"/>
  <c r="H96" i="6"/>
  <c r="H86" i="6"/>
  <c r="H188" i="6"/>
  <c r="H189" i="6"/>
  <c r="H247" i="6"/>
  <c r="H170" i="6"/>
  <c r="H200" i="6"/>
  <c r="H243" i="6"/>
  <c r="H194" i="6"/>
  <c r="H106" i="6"/>
  <c r="H126" i="6"/>
  <c r="H198" i="6"/>
  <c r="H199" i="6"/>
  <c r="H257" i="6"/>
  <c r="H190" i="6"/>
  <c r="H220" i="6"/>
  <c r="H253" i="6"/>
  <c r="H204" i="6"/>
  <c r="H26" i="6"/>
  <c r="H136" i="6"/>
  <c r="H256" i="6"/>
  <c r="H208" i="6"/>
  <c r="H9" i="6"/>
  <c r="H209" i="6"/>
  <c r="H47" i="6"/>
  <c r="H210" i="6"/>
  <c r="H230" i="6"/>
  <c r="H42" i="6"/>
  <c r="H232" i="6"/>
  <c r="H214" i="6"/>
  <c r="H156" i="6"/>
  <c r="H218" i="6"/>
  <c r="H19" i="6"/>
  <c r="H219" i="6"/>
  <c r="H57" i="6"/>
  <c r="H240" i="6"/>
  <c r="H31" i="6"/>
  <c r="H72" i="6"/>
  <c r="H104" i="6"/>
  <c r="H78" i="6"/>
  <c r="H228" i="6"/>
  <c r="H33" i="6"/>
  <c r="H85" i="6"/>
  <c r="H139" i="6"/>
  <c r="H147" i="6"/>
  <c r="H217" i="6"/>
  <c r="H102" i="6"/>
  <c r="H112" i="6"/>
  <c r="H216" i="6"/>
  <c r="H226" i="6"/>
  <c r="H236" i="6"/>
  <c r="H181" i="6"/>
  <c r="H191" i="6"/>
  <c r="H10" i="6"/>
  <c r="H124" i="6"/>
  <c r="H148" i="6"/>
  <c r="H87" i="6"/>
  <c r="H107" i="6"/>
  <c r="H248" i="6"/>
  <c r="H38" i="6"/>
  <c r="H227" i="6"/>
  <c r="H182" i="6"/>
  <c r="H48" i="6"/>
  <c r="H29" i="6"/>
  <c r="H222" i="6"/>
  <c r="H120" i="6"/>
  <c r="H154" i="6"/>
  <c r="H158" i="6"/>
  <c r="H59" i="6"/>
  <c r="H37" i="6"/>
  <c r="H69" i="6"/>
  <c r="H79" i="6"/>
  <c r="H117" i="6"/>
  <c r="H68" i="6"/>
  <c r="H224" i="6"/>
  <c r="H168" i="6"/>
  <c r="H49" i="6"/>
  <c r="H27" i="6"/>
  <c r="H67" i="6"/>
  <c r="H244" i="6"/>
  <c r="H238" i="6"/>
  <c r="H249" i="6"/>
  <c r="H212" i="6"/>
  <c r="H43" i="6"/>
  <c r="H119" i="6"/>
  <c r="H127" i="6"/>
  <c r="H28" i="6"/>
  <c r="H65" i="6"/>
  <c r="H53" i="6"/>
  <c r="H129" i="6"/>
  <c r="H137" i="6"/>
  <c r="H63" i="6"/>
  <c r="H71" i="6"/>
  <c r="H16" i="6"/>
  <c r="H171" i="6"/>
  <c r="H34" i="6"/>
  <c r="H135" i="6"/>
  <c r="H173" i="6"/>
  <c r="H56" i="6"/>
  <c r="H149" i="6"/>
  <c r="H157" i="6"/>
  <c r="H206" i="6"/>
  <c r="H202" i="6"/>
  <c r="H58" i="6"/>
  <c r="H12" i="6"/>
  <c r="H155" i="6"/>
  <c r="H183" i="6"/>
  <c r="H15" i="6"/>
  <c r="H166" i="6"/>
  <c r="H229" i="6"/>
  <c r="H197" i="6"/>
  <c r="H92" i="6"/>
  <c r="H196" i="6"/>
  <c r="H151" i="6"/>
  <c r="H175" i="6"/>
  <c r="H193" i="6"/>
  <c r="H35" i="6"/>
  <c r="H186" i="6"/>
  <c r="H46" i="6"/>
  <c r="H239" i="6"/>
  <c r="H207" i="6"/>
  <c r="H61" i="6"/>
  <c r="H81" i="6"/>
  <c r="H246" i="6"/>
  <c r="H236" i="3"/>
  <c r="H31" i="3"/>
  <c r="H129" i="3"/>
  <c r="H16" i="3"/>
  <c r="H240" i="3"/>
  <c r="H158" i="3"/>
  <c r="H29" i="3"/>
  <c r="H239" i="3"/>
  <c r="H250" i="3"/>
  <c r="H168" i="3"/>
  <c r="H39" i="3"/>
  <c r="H249" i="3"/>
  <c r="H143" i="3"/>
  <c r="H73" i="3"/>
  <c r="H152" i="3"/>
  <c r="H75" i="3"/>
  <c r="H124" i="3"/>
  <c r="H188" i="3"/>
  <c r="H59" i="3"/>
  <c r="H21" i="3"/>
  <c r="H163" i="3"/>
  <c r="H93" i="3"/>
  <c r="H172" i="3"/>
  <c r="H20" i="3"/>
  <c r="H228" i="3"/>
  <c r="H99" i="3"/>
  <c r="H42" i="3"/>
  <c r="H70" i="3"/>
  <c r="H141" i="3"/>
  <c r="H203" i="3"/>
  <c r="H212" i="3"/>
  <c r="H257" i="3"/>
  <c r="H196" i="3"/>
  <c r="H256" i="3"/>
  <c r="H238" i="3"/>
  <c r="H109" i="3"/>
  <c r="H52" i="3"/>
  <c r="H80" i="3"/>
  <c r="H151" i="3"/>
  <c r="H213" i="3"/>
  <c r="H30" i="3"/>
  <c r="H130" i="3"/>
  <c r="H248" i="3"/>
  <c r="H119" i="3"/>
  <c r="H62" i="3"/>
  <c r="H90" i="3"/>
  <c r="H41" i="3"/>
  <c r="H161" i="3"/>
  <c r="H223" i="3"/>
  <c r="H232" i="3"/>
  <c r="H28" i="3"/>
  <c r="H36" i="3"/>
  <c r="H216" i="3"/>
  <c r="H233" i="3"/>
  <c r="H25" i="3"/>
  <c r="H140" i="3"/>
  <c r="H139" i="3"/>
  <c r="H72" i="3"/>
  <c r="H100" i="3"/>
  <c r="H51" i="3"/>
  <c r="H171" i="3"/>
  <c r="H150" i="3"/>
  <c r="H149" i="3"/>
  <c r="H82" i="3"/>
  <c r="H110" i="3"/>
  <c r="H61" i="3"/>
  <c r="H181" i="3"/>
  <c r="H144" i="3"/>
  <c r="H15" i="3"/>
  <c r="H45" i="3"/>
  <c r="H147" i="3"/>
  <c r="H160" i="3"/>
  <c r="H159" i="3"/>
  <c r="H92" i="3"/>
  <c r="H120" i="3"/>
  <c r="H71" i="3"/>
  <c r="H191" i="3"/>
  <c r="H164" i="3"/>
  <c r="H134" i="3"/>
  <c r="H55" i="3"/>
  <c r="H157" i="3"/>
  <c r="H145" i="3"/>
  <c r="H180" i="3"/>
  <c r="H179" i="3"/>
  <c r="H112" i="3"/>
  <c r="H91" i="3"/>
  <c r="H211" i="3"/>
  <c r="H194" i="3"/>
  <c r="H174" i="3"/>
  <c r="H105" i="3"/>
  <c r="H85" i="3"/>
  <c r="H177" i="3"/>
  <c r="H54" i="3"/>
  <c r="H138" i="3"/>
  <c r="H219" i="3"/>
  <c r="H83" i="3"/>
  <c r="H74" i="3"/>
  <c r="H66" i="3"/>
  <c r="H178" i="3"/>
  <c r="H214" i="3"/>
  <c r="H123" i="3"/>
  <c r="H94" i="3"/>
  <c r="H135" i="3"/>
  <c r="H86" i="3"/>
  <c r="H77" i="3"/>
  <c r="H198" i="3"/>
  <c r="H40" i="3"/>
  <c r="H34" i="3"/>
  <c r="H148" i="3"/>
  <c r="H229" i="3"/>
  <c r="H184" i="3"/>
  <c r="H113" i="3"/>
  <c r="H84" i="3"/>
  <c r="H76" i="3"/>
  <c r="H18" i="3"/>
  <c r="H12" i="3"/>
  <c r="H224" i="3"/>
  <c r="H137" i="3"/>
  <c r="H104" i="3"/>
  <c r="H205" i="3"/>
  <c r="H190" i="3"/>
  <c r="H122" i="3"/>
  <c r="H221" i="3"/>
  <c r="H202" i="3"/>
  <c r="H115" i="3"/>
  <c r="H207" i="3"/>
  <c r="H17" i="3"/>
  <c r="H127" i="3"/>
  <c r="H200" i="3"/>
  <c r="H13" i="3"/>
  <c r="H231" i="3"/>
  <c r="H222" i="3"/>
  <c r="H125" i="3"/>
  <c r="H217" i="3"/>
  <c r="H68" i="3"/>
  <c r="H116" i="3"/>
  <c r="H27" i="3"/>
  <c r="H246" i="3"/>
  <c r="H210" i="3"/>
  <c r="H23" i="3"/>
  <c r="H241" i="3"/>
  <c r="H244" i="3"/>
  <c r="H227" i="3"/>
  <c r="H155" i="3"/>
  <c r="H78" i="3"/>
  <c r="H255" i="3"/>
  <c r="H136" i="3"/>
  <c r="H220" i="3"/>
  <c r="H9" i="3"/>
  <c r="H251" i="3"/>
  <c r="H254" i="3"/>
  <c r="H165" i="3"/>
  <c r="H88" i="3"/>
  <c r="H146" i="3"/>
  <c r="H230" i="3"/>
  <c r="H19" i="3"/>
  <c r="H14" i="3"/>
  <c r="H33" i="3"/>
  <c r="H175" i="3"/>
  <c r="H98" i="3"/>
  <c r="H156" i="3"/>
  <c r="H49" i="3"/>
  <c r="H11" i="3"/>
  <c r="H24" i="3"/>
  <c r="H103" i="3"/>
  <c r="H208" i="3"/>
  <c r="H50" i="3"/>
  <c r="H234" i="3"/>
  <c r="H162" i="3"/>
  <c r="H89" i="3"/>
  <c r="H173" i="3"/>
  <c r="H225" i="3"/>
  <c r="H46" i="3"/>
  <c r="H235" i="3"/>
  <c r="H56" i="3"/>
  <c r="H37" i="3"/>
  <c r="H47" i="3"/>
  <c r="H81" i="3"/>
  <c r="H218" i="3"/>
  <c r="H60" i="3"/>
  <c r="H132" i="3"/>
  <c r="H182" i="3"/>
  <c r="H95" i="3"/>
  <c r="H183" i="3"/>
  <c r="H197" i="3"/>
  <c r="H117" i="3"/>
  <c r="H64" i="3"/>
  <c r="H114" i="3"/>
  <c r="H57" i="3"/>
  <c r="H118" i="3"/>
  <c r="H154" i="3"/>
  <c r="H253" i="3"/>
  <c r="H252" i="3"/>
  <c r="H192" i="3"/>
  <c r="H35" i="3"/>
  <c r="H185" i="3"/>
  <c r="H153" i="3"/>
  <c r="H167" i="3"/>
  <c r="H215" i="3"/>
  <c r="H97" i="3"/>
  <c r="H187" i="3"/>
  <c r="H107" i="3"/>
  <c r="H186" i="3"/>
  <c r="H101" i="3"/>
  <c r="H38" i="3"/>
  <c r="H69" i="3"/>
  <c r="H133" i="3"/>
  <c r="H65" i="3"/>
  <c r="H195" i="3"/>
  <c r="H87" i="3"/>
  <c r="H79" i="3"/>
  <c r="H169" i="3"/>
  <c r="H126" i="3"/>
  <c r="H245" i="3"/>
  <c r="H226" i="3"/>
  <c r="H189" i="3"/>
  <c r="H193" i="3"/>
  <c r="H43" i="3"/>
  <c r="H96" i="3"/>
  <c r="H199" i="3"/>
  <c r="H53" i="3"/>
  <c r="H106" i="3"/>
  <c r="H209" i="3"/>
  <c r="H63" i="3"/>
  <c r="H242" i="3"/>
  <c r="H206" i="3"/>
  <c r="H48" i="3"/>
  <c r="H58" i="3"/>
  <c r="H22" i="3"/>
  <c r="H243" i="3"/>
  <c r="H67" i="3"/>
  <c r="H128" i="3"/>
  <c r="H111" i="3"/>
  <c r="H237" i="3"/>
  <c r="H247" i="3"/>
  <c r="H10" i="3"/>
  <c r="H32" i="3"/>
  <c r="H131" i="3"/>
  <c r="H166" i="3"/>
  <c r="H170" i="3"/>
  <c r="H176" i="3"/>
  <c r="H44" i="3"/>
  <c r="H204" i="3"/>
  <c r="H102" i="3"/>
  <c r="H201" i="3"/>
  <c r="H142" i="3"/>
  <c r="H26" i="3"/>
  <c r="H108" i="3"/>
  <c r="H121" i="3"/>
  <c r="H154" i="2"/>
  <c r="H86" i="2"/>
  <c r="H96" i="2"/>
  <c r="H170" i="2"/>
  <c r="H37" i="2"/>
  <c r="H218" i="2"/>
  <c r="H172" i="2"/>
  <c r="H45" i="2"/>
  <c r="H17" i="2"/>
  <c r="H118" i="2"/>
  <c r="H18" i="2"/>
  <c r="H212" i="2"/>
  <c r="H135" i="2"/>
  <c r="H219" i="2"/>
  <c r="H194" i="2"/>
  <c r="H23" i="2"/>
  <c r="H166" i="2"/>
  <c r="H156" i="2"/>
  <c r="H120" i="2"/>
  <c r="H136" i="2"/>
  <c r="H15" i="2"/>
  <c r="H161" i="2"/>
  <c r="H107" i="2"/>
  <c r="H207" i="2"/>
  <c r="H69" i="2"/>
  <c r="H186" i="2"/>
  <c r="H255" i="2"/>
  <c r="H174" i="2"/>
  <c r="H243" i="2"/>
  <c r="H104" i="2"/>
  <c r="H20" i="2"/>
  <c r="H227" i="2"/>
  <c r="H91" i="2"/>
  <c r="H209" i="2"/>
  <c r="H203" i="2"/>
  <c r="H139" i="2"/>
  <c r="H61" i="2"/>
  <c r="H182" i="2"/>
  <c r="H72" i="2"/>
  <c r="H33" i="2"/>
  <c r="H95" i="2"/>
  <c r="H113" i="2"/>
  <c r="H231" i="2"/>
  <c r="H143" i="2"/>
  <c r="H21" i="2"/>
  <c r="H87" i="2"/>
  <c r="H50" i="2"/>
  <c r="H189" i="2"/>
  <c r="H29" i="2"/>
  <c r="H191" i="2"/>
  <c r="H41" i="2"/>
  <c r="H127" i="2"/>
  <c r="H94" i="2"/>
  <c r="H211" i="2"/>
  <c r="H66" i="2"/>
  <c r="H30" i="2"/>
  <c r="H223" i="2"/>
  <c r="H158" i="2"/>
  <c r="H229" i="2"/>
  <c r="H81" i="2"/>
  <c r="H147" i="2"/>
  <c r="H28" i="2"/>
  <c r="H116" i="2"/>
  <c r="H233" i="2"/>
  <c r="H36" i="2"/>
  <c r="H175" i="2"/>
  <c r="H68" i="2"/>
  <c r="H195" i="2"/>
  <c r="H44" i="2"/>
  <c r="H48" i="2"/>
  <c r="H22" i="2"/>
  <c r="H152" i="2"/>
  <c r="H101" i="2"/>
  <c r="H167" i="2"/>
  <c r="H11" i="2"/>
  <c r="H138" i="2"/>
  <c r="H201" i="2"/>
  <c r="H157" i="2"/>
  <c r="H228" i="2"/>
  <c r="H146" i="2"/>
  <c r="H214" i="2"/>
  <c r="H246" i="2"/>
  <c r="H183" i="2"/>
  <c r="H85" i="2"/>
  <c r="H210" i="2"/>
  <c r="H217" i="2"/>
  <c r="H256" i="2"/>
  <c r="H73" i="2"/>
  <c r="H123" i="2"/>
  <c r="H193" i="2"/>
  <c r="H197" i="2"/>
  <c r="H155" i="2"/>
  <c r="H205" i="2"/>
  <c r="H114" i="2"/>
  <c r="H238" i="2"/>
  <c r="H254" i="2"/>
  <c r="H108" i="2"/>
  <c r="H39" i="2"/>
  <c r="H232" i="2"/>
  <c r="H245" i="2"/>
  <c r="H42" i="2"/>
  <c r="H252" i="2"/>
  <c r="H74" i="2"/>
  <c r="H180" i="2"/>
  <c r="H110" i="2"/>
  <c r="H102" i="2"/>
  <c r="H10" i="2"/>
  <c r="H63" i="2"/>
  <c r="H247" i="2"/>
  <c r="H159" i="2"/>
  <c r="H97" i="2"/>
  <c r="H249" i="2"/>
  <c r="H164" i="2"/>
  <c r="H153" i="2"/>
  <c r="H145" i="2"/>
  <c r="H171" i="2"/>
  <c r="H9" i="2"/>
  <c r="H133" i="2"/>
  <c r="H208" i="2"/>
  <c r="H16" i="2"/>
  <c r="H124" i="2"/>
  <c r="H181" i="2"/>
  <c r="H122" i="2"/>
  <c r="H126" i="2"/>
  <c r="H188" i="2"/>
  <c r="H190" i="2"/>
  <c r="H40" i="2"/>
  <c r="H12" i="2"/>
  <c r="H51" i="2"/>
  <c r="H168" i="2"/>
  <c r="H112" i="2"/>
  <c r="H57" i="2"/>
  <c r="H215" i="2"/>
  <c r="H34" i="2"/>
  <c r="H151" i="2"/>
  <c r="H165" i="2"/>
  <c r="H169" i="2"/>
  <c r="H244" i="2"/>
  <c r="H130" i="2"/>
  <c r="H25" i="2"/>
  <c r="H150" i="2"/>
  <c r="H257" i="2"/>
  <c r="H43" i="2"/>
  <c r="H59" i="2"/>
  <c r="H92" i="2"/>
  <c r="H80" i="2"/>
  <c r="H128" i="2"/>
  <c r="H162" i="2"/>
  <c r="H173" i="2"/>
  <c r="H253" i="2"/>
  <c r="H82" i="2"/>
  <c r="H49" i="2"/>
  <c r="H24" i="2"/>
  <c r="H177" i="2"/>
  <c r="H100" i="2"/>
  <c r="H58" i="2"/>
  <c r="H129" i="2"/>
  <c r="H200" i="2"/>
  <c r="H27" i="2"/>
  <c r="H71" i="2"/>
  <c r="H235" i="2"/>
  <c r="H98" i="2"/>
  <c r="H78" i="2"/>
  <c r="H230" i="2"/>
  <c r="H13" i="2"/>
  <c r="H132" i="2"/>
  <c r="H213" i="2"/>
  <c r="H216" i="2"/>
  <c r="H178" i="2"/>
  <c r="H47" i="2"/>
  <c r="H93" i="2"/>
  <c r="H31" i="2"/>
  <c r="H38" i="2"/>
  <c r="H56" i="2"/>
  <c r="H192" i="2"/>
  <c r="H67" i="2"/>
  <c r="H115" i="2"/>
  <c r="H53" i="2"/>
  <c r="H109" i="2"/>
  <c r="H240" i="2"/>
  <c r="H144" i="2"/>
  <c r="H251" i="2"/>
  <c r="H187" i="2"/>
  <c r="H137" i="2"/>
  <c r="H75" i="2"/>
  <c r="H55" i="2"/>
  <c r="H176" i="2"/>
  <c r="H220" i="2"/>
  <c r="H148" i="2"/>
  <c r="H111" i="2"/>
  <c r="H204" i="2"/>
  <c r="H119" i="2"/>
  <c r="H77" i="2"/>
  <c r="H70" i="2"/>
  <c r="H76" i="2"/>
  <c r="H131" i="2"/>
  <c r="H14" i="2"/>
  <c r="H226" i="2"/>
  <c r="H142" i="2"/>
  <c r="H99" i="2"/>
  <c r="H106" i="2"/>
  <c r="H149" i="2"/>
  <c r="H196" i="2"/>
  <c r="H79" i="2"/>
  <c r="H134" i="2"/>
  <c r="H206" i="2"/>
  <c r="H198" i="2"/>
  <c r="H222" i="2"/>
  <c r="H65" i="2"/>
  <c r="H62" i="2"/>
  <c r="H54" i="2"/>
  <c r="H140" i="2"/>
  <c r="H199" i="2"/>
  <c r="H121" i="2"/>
  <c r="H90" i="2"/>
  <c r="H60" i="2"/>
  <c r="H250" i="2"/>
  <c r="H163" i="2"/>
  <c r="H19" i="2"/>
  <c r="H242" i="2"/>
  <c r="H32" i="2"/>
  <c r="H160" i="2"/>
  <c r="H241" i="2"/>
  <c r="H202" i="2"/>
  <c r="H221" i="2"/>
  <c r="H179" i="2"/>
  <c r="H88" i="2"/>
  <c r="H89" i="2"/>
  <c r="H237" i="2"/>
  <c r="H184" i="2"/>
  <c r="H26" i="2"/>
  <c r="H117" i="2"/>
  <c r="H234" i="2"/>
  <c r="H125" i="2"/>
  <c r="H35" i="2"/>
  <c r="H236" i="2"/>
  <c r="H224" i="2"/>
  <c r="H141" i="2"/>
  <c r="H105" i="2"/>
  <c r="H248" i="2"/>
  <c r="H46" i="2"/>
  <c r="H84" i="2"/>
  <c r="H239" i="2"/>
  <c r="H52" i="2"/>
  <c r="H103" i="2"/>
  <c r="H83" i="2"/>
  <c r="H185" i="2"/>
  <c r="H64" i="2"/>
</calcChain>
</file>

<file path=xl/sharedStrings.xml><?xml version="1.0" encoding="utf-8"?>
<sst xmlns="http://schemas.openxmlformats.org/spreadsheetml/2006/main" count="141" uniqueCount="42">
  <si>
    <t>Total Mass (mg)</t>
  </si>
  <si>
    <t>Length (mm)</t>
  </si>
  <si>
    <t>Width (mm)</t>
  </si>
  <si>
    <t>Thickness (mm)</t>
  </si>
  <si>
    <t>mass (kg)</t>
  </si>
  <si>
    <t>length (mm)</t>
  </si>
  <si>
    <t>width (mm)</t>
  </si>
  <si>
    <t>thickness (mm)</t>
  </si>
  <si>
    <t>Volume (m^3)</t>
  </si>
  <si>
    <t>Raw data</t>
  </si>
  <si>
    <t>Converted</t>
  </si>
  <si>
    <t>Temperature (K)</t>
  </si>
  <si>
    <t>Magnetic Field (Oe)</t>
  </si>
  <si>
    <t>Moment (emu)</t>
  </si>
  <si>
    <t>M. Std. Err. (emu)</t>
  </si>
  <si>
    <t>Field (A/m)</t>
  </si>
  <si>
    <t>Moment (Am^2)</t>
  </si>
  <si>
    <t>Magnetization (A/m)</t>
  </si>
  <si>
    <t>Fe2O3_Glass_Substrate</t>
  </si>
  <si>
    <t>Fe2O3_Sample 1</t>
  </si>
  <si>
    <t>Fe2O3_Sample 2</t>
  </si>
  <si>
    <t>Fe2O3_Sample 3</t>
  </si>
  <si>
    <t>Fe2O3_Sample 4</t>
  </si>
  <si>
    <t>Fe2O3_Sample 5</t>
  </si>
  <si>
    <t>Fe2O3_Sample 6</t>
  </si>
  <si>
    <t>Sample Name</t>
  </si>
  <si>
    <t xml:space="preserve">Orientation </t>
  </si>
  <si>
    <t>Coercitivity (A/m)</t>
  </si>
  <si>
    <t>Mr (A/m)</t>
  </si>
  <si>
    <t>Permeability (A/m)</t>
  </si>
  <si>
    <t>Squareness, S=Mr/Ms</t>
  </si>
  <si>
    <t>Vertical</t>
  </si>
  <si>
    <t>Fe2O3_Glass Substrate</t>
  </si>
  <si>
    <t>Horizontal</t>
  </si>
  <si>
    <t>Anisotropy Field (A/m)</t>
  </si>
  <si>
    <t>Msat  (A/m)</t>
  </si>
  <si>
    <t>Fe2O3_Sample #1</t>
  </si>
  <si>
    <t>Fe2O3_Sample #2</t>
  </si>
  <si>
    <t>Fe2O3_Sample #3</t>
  </si>
  <si>
    <t>Fe2O3_Sample #4</t>
  </si>
  <si>
    <t>Fe2O3_Sample #5</t>
  </si>
  <si>
    <t>Fe2O3_Sample #6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</si>
</sst>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11" fontId="0" fillId="0" borderId="0" xfId="0" applyNumberFormat="1"/>
    <xf numFmtId="11" fontId="2" fillId="0" borderId="1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/>
    <xf numFmtId="0" fontId="0" fillId="0" borderId="4" xfId="0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11" fontId="0" fillId="0" borderId="7" xfId="0" applyNumberFormat="1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11" fontId="0" fillId="0" borderId="9" xfId="0" applyNumberFormat="1" applyBorder="1" applyAlignment="1">
      <alignment horizontal="center" vertical="center"/>
    </xf>
    <xf numFmtId="11" fontId="0" fillId="0" borderId="10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Glass Substrate</c:v>
          </c:tx>
          <c:spPr>
            <a:ln w="1905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'Glass Substrate'!$G$9:$G$257</c:f>
              <c:numCache>
                <c:formatCode>General</c:formatCode>
                <c:ptCount val="249"/>
                <c:pt idx="0">
                  <c:v>33.959047179304676</c:v>
                </c:pt>
                <c:pt idx="1">
                  <c:v>36.126644472106868</c:v>
                </c:pt>
                <c:pt idx="2">
                  <c:v>70.808224872876778</c:v>
                </c:pt>
                <c:pt idx="3">
                  <c:v>89.594076773005014</c:v>
                </c:pt>
                <c:pt idx="4">
                  <c:v>140.17138093122966</c:v>
                </c:pt>
                <c:pt idx="5">
                  <c:v>164.01497368219194</c:v>
                </c:pt>
                <c:pt idx="6">
                  <c:v>203.75426647467387</c:v>
                </c:pt>
                <c:pt idx="7">
                  <c:v>293.34835273405281</c:v>
                </c:pt>
                <c:pt idx="8">
                  <c:v>335.97780212833027</c:v>
                </c:pt>
                <c:pt idx="9">
                  <c:v>466.03371084426652</c:v>
                </c:pt>
                <c:pt idx="10">
                  <c:v>576.58123325281213</c:v>
                </c:pt>
                <c:pt idx="11">
                  <c:v>704.4695814356445</c:v>
                </c:pt>
                <c:pt idx="12">
                  <c:v>861.25923001796787</c:v>
                </c:pt>
                <c:pt idx="13">
                  <c:v>1059.2332117481708</c:v>
                </c:pt>
                <c:pt idx="14">
                  <c:v>1308.5070747325424</c:v>
                </c:pt>
                <c:pt idx="15">
                  <c:v>1627.866609209781</c:v>
                </c:pt>
                <c:pt idx="16">
                  <c:v>2005.7513026091935</c:v>
                </c:pt>
                <c:pt idx="17">
                  <c:v>2475.3976902329568</c:v>
                </c:pt>
                <c:pt idx="18">
                  <c:v>3032.4705751238735</c:v>
                </c:pt>
                <c:pt idx="19">
                  <c:v>3754.2808684973152</c:v>
                </c:pt>
                <c:pt idx="20">
                  <c:v>4611.9275355722702</c:v>
                </c:pt>
                <c:pt idx="21">
                  <c:v>5681.2763713177201</c:v>
                </c:pt>
                <c:pt idx="22">
                  <c:v>7006.4013721918936</c:v>
                </c:pt>
                <c:pt idx="23">
                  <c:v>8632.1005347050796</c:v>
                </c:pt>
                <c:pt idx="24">
                  <c:v>10622.678723855011</c:v>
                </c:pt>
                <c:pt idx="25">
                  <c:v>13074.955237164615</c:v>
                </c:pt>
                <c:pt idx="26">
                  <c:v>16105.259428065794</c:v>
                </c:pt>
                <c:pt idx="27">
                  <c:v>19822.69036351702</c:v>
                </c:pt>
                <c:pt idx="28">
                  <c:v>24404.270761478965</c:v>
                </c:pt>
                <c:pt idx="29">
                  <c:v>30075.433292237671</c:v>
                </c:pt>
                <c:pt idx="30">
                  <c:v>37052.932339501713</c:v>
                </c:pt>
                <c:pt idx="31">
                  <c:v>45638.792189961809</c:v>
                </c:pt>
                <c:pt idx="32">
                  <c:v>56187.771047724716</c:v>
                </c:pt>
                <c:pt idx="33">
                  <c:v>69237.439406762103</c:v>
                </c:pt>
                <c:pt idx="34">
                  <c:v>85238.648036575789</c:v>
                </c:pt>
                <c:pt idx="35">
                  <c:v>104979.69426508626</c:v>
                </c:pt>
                <c:pt idx="36">
                  <c:v>129284.98253224083</c:v>
                </c:pt>
                <c:pt idx="37">
                  <c:v>159285.98558349101</c:v>
                </c:pt>
                <c:pt idx="38">
                  <c:v>196130.8308975595</c:v>
                </c:pt>
                <c:pt idx="39">
                  <c:v>241550.69275732501</c:v>
                </c:pt>
                <c:pt idx="40">
                  <c:v>297484.84461366071</c:v>
                </c:pt>
                <c:pt idx="41">
                  <c:v>366352.35611795209</c:v>
                </c:pt>
                <c:pt idx="42">
                  <c:v>451159.65676252783</c:v>
                </c:pt>
                <c:pt idx="43">
                  <c:v>555635.00743078836</c:v>
                </c:pt>
                <c:pt idx="44">
                  <c:v>684305.13451256126</c:v>
                </c:pt>
                <c:pt idx="45">
                  <c:v>842738.51820670243</c:v>
                </c:pt>
                <c:pt idx="46">
                  <c:v>1037815.9287250068</c:v>
                </c:pt>
                <c:pt idx="47">
                  <c:v>1278126.6816900864</c:v>
                </c:pt>
                <c:pt idx="48">
                  <c:v>1574017.5969313614</c:v>
                </c:pt>
                <c:pt idx="49">
                  <c:v>1938448.1454546223</c:v>
                </c:pt>
                <c:pt idx="50">
                  <c:v>2387312.3340974976</c:v>
                </c:pt>
                <c:pt idx="51">
                  <c:v>1938478.5309930739</c:v>
                </c:pt>
                <c:pt idx="52">
                  <c:v>1574038.5792724916</c:v>
                </c:pt>
                <c:pt idx="53">
                  <c:v>1278116.6179375851</c:v>
                </c:pt>
                <c:pt idx="54">
                  <c:v>1037810.100296915</c:v>
                </c:pt>
                <c:pt idx="55">
                  <c:v>842743.60836723202</c:v>
                </c:pt>
                <c:pt idx="56">
                  <c:v>684301.52088714438</c:v>
                </c:pt>
                <c:pt idx="57">
                  <c:v>555604.66074852413</c:v>
                </c:pt>
                <c:pt idx="58">
                  <c:v>451149.51529764821</c:v>
                </c:pt>
                <c:pt idx="59">
                  <c:v>366299.60884372139</c:v>
                </c:pt>
                <c:pt idx="60">
                  <c:v>297435.73039294092</c:v>
                </c:pt>
                <c:pt idx="61">
                  <c:v>241518.17984261972</c:v>
                </c:pt>
                <c:pt idx="62">
                  <c:v>196135.17307648726</c:v>
                </c:pt>
                <c:pt idx="63">
                  <c:v>159229.63439789083</c:v>
                </c:pt>
                <c:pt idx="64">
                  <c:v>129287.1536217055</c:v>
                </c:pt>
                <c:pt idx="65">
                  <c:v>104975.35694318141</c:v>
                </c:pt>
                <c:pt idx="66">
                  <c:v>85283.454077531365</c:v>
                </c:pt>
                <c:pt idx="67">
                  <c:v>69230.212155928341</c:v>
                </c:pt>
                <c:pt idx="68">
                  <c:v>56182.714886355148</c:v>
                </c:pt>
                <c:pt idx="69">
                  <c:v>45601.941953351816</c:v>
                </c:pt>
                <c:pt idx="70">
                  <c:v>37054.377303966095</c:v>
                </c:pt>
                <c:pt idx="71">
                  <c:v>30077.599524678473</c:v>
                </c:pt>
                <c:pt idx="72">
                  <c:v>24391.266081299287</c:v>
                </c:pt>
                <c:pt idx="73">
                  <c:v>19803.90461122381</c:v>
                </c:pt>
                <c:pt idx="74">
                  <c:v>16074.9115315456</c:v>
                </c:pt>
                <c:pt idx="75">
                  <c:v>13063.395521449322</c:v>
                </c:pt>
                <c:pt idx="76">
                  <c:v>10609.673436547451</c:v>
                </c:pt>
                <c:pt idx="77">
                  <c:v>8614.037264644061</c:v>
                </c:pt>
                <c:pt idx="78">
                  <c:v>6991.2280310597198</c:v>
                </c:pt>
                <c:pt idx="79">
                  <c:v>5661.7678332283467</c:v>
                </c:pt>
                <c:pt idx="80">
                  <c:v>4596.0317122078977</c:v>
                </c:pt>
                <c:pt idx="81">
                  <c:v>3710.2065684751174</c:v>
                </c:pt>
                <c:pt idx="82">
                  <c:v>3000.6790801770985</c:v>
                </c:pt>
                <c:pt idx="83">
                  <c:v>2442.161154930779</c:v>
                </c:pt>
                <c:pt idx="84">
                  <c:v>1967.4570122266207</c:v>
                </c:pt>
                <c:pt idx="85">
                  <c:v>1591.7399931967971</c:v>
                </c:pt>
                <c:pt idx="86">
                  <c:v>1291.1662869037477</c:v>
                </c:pt>
                <c:pt idx="87">
                  <c:v>1025.2742321592768</c:v>
                </c:pt>
                <c:pt idx="88">
                  <c:v>821.51989927998432</c:v>
                </c:pt>
                <c:pt idx="89">
                  <c:v>664.73028864316268</c:v>
                </c:pt>
                <c:pt idx="90">
                  <c:v>537.56446063803173</c:v>
                </c:pt>
                <c:pt idx="91">
                  <c:v>503.60544310364463</c:v>
                </c:pt>
                <c:pt idx="92">
                  <c:v>327.30740821393465</c:v>
                </c:pt>
                <c:pt idx="93">
                  <c:v>324.41727058488681</c:v>
                </c:pt>
                <c:pt idx="94">
                  <c:v>291.18076374182817</c:v>
                </c:pt>
                <c:pt idx="95">
                  <c:v>257.94424741239482</c:v>
                </c:pt>
                <c:pt idx="96">
                  <c:v>127.16579005963619</c:v>
                </c:pt>
                <c:pt idx="97">
                  <c:v>119.21793055250251</c:v>
                </c:pt>
                <c:pt idx="98">
                  <c:v>122.10805869517642</c:v>
                </c:pt>
                <c:pt idx="99">
                  <c:v>122.10805869517642</c:v>
                </c:pt>
                <c:pt idx="100">
                  <c:v>-139.44884652396772</c:v>
                </c:pt>
                <c:pt idx="101">
                  <c:v>-143.06150907390358</c:v>
                </c:pt>
                <c:pt idx="102">
                  <c:v>-145.22911229568942</c:v>
                </c:pt>
                <c:pt idx="103">
                  <c:v>-138.72631685989231</c:v>
                </c:pt>
                <c:pt idx="104">
                  <c:v>-158.23470316728287</c:v>
                </c:pt>
                <c:pt idx="105">
                  <c:v>-216.03732768219274</c:v>
                </c:pt>
                <c:pt idx="106">
                  <c:v>-252.16398164067309</c:v>
                </c:pt>
                <c:pt idx="107">
                  <c:v>-422.68176024503521</c:v>
                </c:pt>
                <c:pt idx="108">
                  <c:v>-425.57189787408305</c:v>
                </c:pt>
                <c:pt idx="109">
                  <c:v>-628.60359673918674</c:v>
                </c:pt>
                <c:pt idx="110">
                  <c:v>-665.45280882086411</c:v>
                </c:pt>
                <c:pt idx="111">
                  <c:v>-920.50690911783886</c:v>
                </c:pt>
                <c:pt idx="112">
                  <c:v>-1117.0358504926385</c:v>
                </c:pt>
                <c:pt idx="113">
                  <c:v>-1371.3674306119144</c:v>
                </c:pt>
                <c:pt idx="114">
                  <c:v>-1676.998816094361</c:v>
                </c:pt>
                <c:pt idx="115">
                  <c:v>-2056.3285498491764</c:v>
                </c:pt>
                <c:pt idx="116">
                  <c:v>-2521.6399681887096</c:v>
                </c:pt>
                <c:pt idx="117">
                  <c:v>-3082.3253401316492</c:v>
                </c:pt>
                <c:pt idx="118">
                  <c:v>-3796.1877218229015</c:v>
                </c:pt>
                <c:pt idx="119">
                  <c:v>-4659.6147021014476</c:v>
                </c:pt>
                <c:pt idx="120">
                  <c:v>-5728.2407520507231</c:v>
                </c:pt>
                <c:pt idx="121">
                  <c:v>-7042.527912313888</c:v>
                </c:pt>
                <c:pt idx="122">
                  <c:v>-8657.388930652105</c:v>
                </c:pt>
                <c:pt idx="123">
                  <c:v>-10660.250228441426</c:v>
                </c:pt>
                <c:pt idx="124">
                  <c:v>-13126.254511290863</c:v>
                </c:pt>
                <c:pt idx="125">
                  <c:v>-16163.060435153953</c:v>
                </c:pt>
                <c:pt idx="126">
                  <c:v>-19897.110890457578</c:v>
                </c:pt>
                <c:pt idx="127">
                  <c:v>-24463.519161543278</c:v>
                </c:pt>
                <c:pt idx="128">
                  <c:v>-30126.730744980181</c:v>
                </c:pt>
                <c:pt idx="129">
                  <c:v>-37096.283701945817</c:v>
                </c:pt>
                <c:pt idx="130">
                  <c:v>-45648.906941212721</c:v>
                </c:pt>
                <c:pt idx="131">
                  <c:v>-56222.452623382291</c:v>
                </c:pt>
                <c:pt idx="132">
                  <c:v>-69260.558838192679</c:v>
                </c:pt>
                <c:pt idx="133">
                  <c:v>-85285.615452948608</c:v>
                </c:pt>
                <c:pt idx="134">
                  <c:v>-105000.65717812249</c:v>
                </c:pt>
                <c:pt idx="135">
                  <c:v>-129300.87471283764</c:v>
                </c:pt>
                <c:pt idx="136">
                  <c:v>-159272.98333182308</c:v>
                </c:pt>
                <c:pt idx="137">
                  <c:v>-196094.70435743732</c:v>
                </c:pt>
                <c:pt idx="138">
                  <c:v>-241560.08624059972</c:v>
                </c:pt>
                <c:pt idx="139">
                  <c:v>-297478.35563038522</c:v>
                </c:pt>
                <c:pt idx="140">
                  <c:v>-366384.15990723897</c:v>
                </c:pt>
                <c:pt idx="141">
                  <c:v>-451116.29325752525</c:v>
                </c:pt>
                <c:pt idx="142">
                  <c:v>-555585.89321006869</c:v>
                </c:pt>
                <c:pt idx="143">
                  <c:v>-684248.75418482046</c:v>
                </c:pt>
                <c:pt idx="144">
                  <c:v>-842669.89817996905</c:v>
                </c:pt>
                <c:pt idx="145">
                  <c:v>-1037798.5600092895</c:v>
                </c:pt>
                <c:pt idx="146">
                  <c:v>-1278068.2031282363</c:v>
                </c:pt>
                <c:pt idx="147">
                  <c:v>-1574036.4810383786</c:v>
                </c:pt>
                <c:pt idx="148">
                  <c:v>-1938470.4489061199</c:v>
                </c:pt>
                <c:pt idx="149">
                  <c:v>-2387286.9998633922</c:v>
                </c:pt>
                <c:pt idx="150">
                  <c:v>-1938455.2949930814</c:v>
                </c:pt>
                <c:pt idx="151">
                  <c:v>-1574025.6790183152</c:v>
                </c:pt>
                <c:pt idx="152">
                  <c:v>-1278081.9970747242</c:v>
                </c:pt>
                <c:pt idx="153">
                  <c:v>-1037792.1098822013</c:v>
                </c:pt>
                <c:pt idx="154">
                  <c:v>-842680.00078865362</c:v>
                </c:pt>
                <c:pt idx="155">
                  <c:v>-684248.05477344943</c:v>
                </c:pt>
                <c:pt idx="156">
                  <c:v>-555603.94190905977</c:v>
                </c:pt>
                <c:pt idx="157">
                  <c:v>-451153.14835115831</c:v>
                </c:pt>
                <c:pt idx="158">
                  <c:v>-366325.62306110462</c:v>
                </c:pt>
                <c:pt idx="159">
                  <c:v>-297514.48217050737</c:v>
                </c:pt>
                <c:pt idx="160">
                  <c:v>-241599.09785262714</c:v>
                </c:pt>
                <c:pt idx="161">
                  <c:v>-196135.16336244065</c:v>
                </c:pt>
                <c:pt idx="162">
                  <c:v>-159252.03013283349</c:v>
                </c:pt>
                <c:pt idx="163">
                  <c:v>-129277.75042438415</c:v>
                </c:pt>
                <c:pt idx="164">
                  <c:v>-105035.32661122215</c:v>
                </c:pt>
                <c:pt idx="165">
                  <c:v>-85300.065097592422</c:v>
                </c:pt>
                <c:pt idx="166">
                  <c:v>-69249.717961942035</c:v>
                </c:pt>
                <c:pt idx="167">
                  <c:v>-56237.623536002771</c:v>
                </c:pt>
                <c:pt idx="168">
                  <c:v>-45679.251194965371</c:v>
                </c:pt>
                <c:pt idx="169">
                  <c:v>-37108.567114149148</c:v>
                </c:pt>
                <c:pt idx="170">
                  <c:v>-30121.674583610533</c:v>
                </c:pt>
                <c:pt idx="171">
                  <c:v>-24483.749878300867</c:v>
                </c:pt>
                <c:pt idx="172">
                  <c:v>-19884.828085382134</c:v>
                </c:pt>
                <c:pt idx="173">
                  <c:v>-16155.113130599693</c:v>
                </c:pt>
                <c:pt idx="174">
                  <c:v>-13121.919617897636</c:v>
                </c:pt>
                <c:pt idx="175">
                  <c:v>-10663.140764498234</c:v>
                </c:pt>
                <c:pt idx="176">
                  <c:v>-8655.2211803915106</c:v>
                </c:pt>
                <c:pt idx="177">
                  <c:v>-7038.1927153566903</c:v>
                </c:pt>
                <c:pt idx="178">
                  <c:v>-5744.8590576473107</c:v>
                </c:pt>
                <c:pt idx="179">
                  <c:v>-4670.4526944944446</c:v>
                </c:pt>
                <c:pt idx="180">
                  <c:v>-3783.1822827332921</c:v>
                </c:pt>
                <c:pt idx="181">
                  <c:v>-3077.2676609422438</c:v>
                </c:pt>
                <c:pt idx="182">
                  <c:v>-2502.8539123315436</c:v>
                </c:pt>
                <c:pt idx="183">
                  <c:v>-2037.5427975559683</c:v>
                </c:pt>
                <c:pt idx="184">
                  <c:v>-1659.6580282655664</c:v>
                </c:pt>
                <c:pt idx="185">
                  <c:v>-1356.9167993849151</c:v>
                </c:pt>
                <c:pt idx="186">
                  <c:v>-1134.3766383214331</c:v>
                </c:pt>
                <c:pt idx="187">
                  <c:v>-900.27600263274758</c:v>
                </c:pt>
                <c:pt idx="188">
                  <c:v>-747.8215510076235</c:v>
                </c:pt>
                <c:pt idx="189">
                  <c:v>-618.48818144213658</c:v>
                </c:pt>
                <c:pt idx="190">
                  <c:v>-505.77302260949614</c:v>
                </c:pt>
                <c:pt idx="191">
                  <c:v>-423.40428042273675</c:v>
                </c:pt>
                <c:pt idx="192">
                  <c:v>-331.64260517113246</c:v>
                </c:pt>
                <c:pt idx="193">
                  <c:v>-294.07089188450209</c:v>
                </c:pt>
                <c:pt idx="194">
                  <c:v>-260.83436606869486</c:v>
                </c:pt>
                <c:pt idx="195">
                  <c:v>-197.2514900116245</c:v>
                </c:pt>
                <c:pt idx="196">
                  <c:v>-177.74309421786</c:v>
                </c:pt>
                <c:pt idx="197">
                  <c:v>-147.39671551747526</c:v>
                </c:pt>
                <c:pt idx="198">
                  <c:v>-140.89391059530428</c:v>
                </c:pt>
                <c:pt idx="199">
                  <c:v>49.132235343700494</c:v>
                </c:pt>
                <c:pt idx="200">
                  <c:v>88.871547108930415</c:v>
                </c:pt>
                <c:pt idx="201">
                  <c:v>85.981414223069152</c:v>
                </c:pt>
                <c:pt idx="202">
                  <c:v>124.99819158103688</c:v>
                </c:pt>
                <c:pt idx="203">
                  <c:v>164.01496419581807</c:v>
                </c:pt>
                <c:pt idx="204">
                  <c:v>220.37253412576445</c:v>
                </c:pt>
                <c:pt idx="205">
                  <c:v>257.22169877557241</c:v>
                </c:pt>
                <c:pt idx="206">
                  <c:v>368.49177930731435</c:v>
                </c:pt>
                <c:pt idx="207">
                  <c:v>456.64079675216931</c:v>
                </c:pt>
                <c:pt idx="208">
                  <c:v>550.57007048237301</c:v>
                </c:pt>
                <c:pt idx="209">
                  <c:v>699.41182635525047</c:v>
                </c:pt>
                <c:pt idx="210">
                  <c:v>853.31135628126833</c:v>
                </c:pt>
                <c:pt idx="211">
                  <c:v>1062.1233683499665</c:v>
                </c:pt>
                <c:pt idx="212">
                  <c:v>1307.7845925003353</c:v>
                </c:pt>
                <c:pt idx="213">
                  <c:v>1628.5891673329772</c:v>
                </c:pt>
                <c:pt idx="214">
                  <c:v>2003.583704130594</c:v>
                </c:pt>
                <c:pt idx="215">
                  <c:v>2471.0624173847691</c:v>
                </c:pt>
                <c:pt idx="216">
                  <c:v>3033.193209138059</c:v>
                </c:pt>
                <c:pt idx="217">
                  <c:v>3746.3331085971122</c:v>
                </c:pt>
                <c:pt idx="218">
                  <c:v>4612.6501695864645</c:v>
                </c:pt>
                <c:pt idx="219">
                  <c:v>5681.2760677537535</c:v>
                </c:pt>
                <c:pt idx="220">
                  <c:v>7005.6788899596868</c:v>
                </c:pt>
                <c:pt idx="221">
                  <c:v>8645.8286078088495</c:v>
                </c:pt>
                <c:pt idx="222">
                  <c:v>10631.349117769423</c:v>
                </c:pt>
                <c:pt idx="223">
                  <c:v>13086.515560007874</c:v>
                </c:pt>
                <c:pt idx="224">
                  <c:v>16105.258213809864</c:v>
                </c:pt>
                <c:pt idx="225">
                  <c:v>19814.742451834794</c:v>
                </c:pt>
                <c:pt idx="226">
                  <c:v>24413.663030497686</c:v>
                </c:pt>
                <c:pt idx="227">
                  <c:v>30080.490667863167</c:v>
                </c:pt>
                <c:pt idx="228">
                  <c:v>37068.826948610229</c:v>
                </c:pt>
                <c:pt idx="229">
                  <c:v>45615.667901507833</c:v>
                </c:pt>
                <c:pt idx="230">
                  <c:v>56200.052031416351</c:v>
                </c:pt>
                <c:pt idx="231">
                  <c:v>69201.31043812845</c:v>
                </c:pt>
                <c:pt idx="232">
                  <c:v>85227.088320860872</c:v>
                </c:pt>
                <c:pt idx="233">
                  <c:v>104945.72910038132</c:v>
                </c:pt>
                <c:pt idx="234">
                  <c:v>129286.42021117012</c:v>
                </c:pt>
                <c:pt idx="235">
                  <c:v>159212.2899672944</c:v>
                </c:pt>
                <c:pt idx="236">
                  <c:v>196105.55494773461</c:v>
                </c:pt>
                <c:pt idx="237">
                  <c:v>241523.2408610133</c:v>
                </c:pt>
                <c:pt idx="238">
                  <c:v>297436.44923240592</c:v>
                </c:pt>
                <c:pt idx="239">
                  <c:v>366311.90682699537</c:v>
                </c:pt>
                <c:pt idx="240">
                  <c:v>451164.00865550298</c:v>
                </c:pt>
                <c:pt idx="241">
                  <c:v>555588.06915655627</c:v>
                </c:pt>
                <c:pt idx="242">
                  <c:v>684261.07159618766</c:v>
                </c:pt>
                <c:pt idx="243">
                  <c:v>842703.85848764249</c:v>
                </c:pt>
                <c:pt idx="244">
                  <c:v>1037784.105507622</c:v>
                </c:pt>
                <c:pt idx="245">
                  <c:v>1278090.6231482921</c:v>
                </c:pt>
                <c:pt idx="246">
                  <c:v>1573994.5940684925</c:v>
                </c:pt>
                <c:pt idx="247">
                  <c:v>1938468.3506720071</c:v>
                </c:pt>
                <c:pt idx="248">
                  <c:v>2387270.3694152371</c:v>
                </c:pt>
              </c:numCache>
            </c:numRef>
          </c:xVal>
          <c:yVal>
            <c:numRef>
              <c:f>'Glass Substrate'!$H$9:$H$257</c:f>
              <c:numCache>
                <c:formatCode>General</c:formatCode>
                <c:ptCount val="249"/>
                <c:pt idx="0">
                  <c:v>2.9304070183057418E-2</c:v>
                </c:pt>
                <c:pt idx="1">
                  <c:v>2.219067092638502E-2</c:v>
                </c:pt>
                <c:pt idx="2">
                  <c:v>5.9836296222380007E-2</c:v>
                </c:pt>
                <c:pt idx="3">
                  <c:v>3.9600980286179956E-2</c:v>
                </c:pt>
                <c:pt idx="4">
                  <c:v>2.3543363088463099E-2</c:v>
                </c:pt>
                <c:pt idx="5">
                  <c:v>6.6479756026961739E-2</c:v>
                </c:pt>
                <c:pt idx="6">
                  <c:v>2.26045595533318E-2</c:v>
                </c:pt>
                <c:pt idx="7">
                  <c:v>4.8868424118780014E-2</c:v>
                </c:pt>
                <c:pt idx="8">
                  <c:v>3.7231687831746595E-2</c:v>
                </c:pt>
                <c:pt idx="9">
                  <c:v>7.8614063433088202E-2</c:v>
                </c:pt>
                <c:pt idx="10">
                  <c:v>5.3125913395559783E-2</c:v>
                </c:pt>
                <c:pt idx="11">
                  <c:v>6.8263458683034434E-2</c:v>
                </c:pt>
                <c:pt idx="12">
                  <c:v>5.2529171013139746E-2</c:v>
                </c:pt>
                <c:pt idx="13">
                  <c:v>8.3374137668948592E-2</c:v>
                </c:pt>
                <c:pt idx="14">
                  <c:v>8.2626977724078857E-2</c:v>
                </c:pt>
                <c:pt idx="15">
                  <c:v>8.6002739767490011E-2</c:v>
                </c:pt>
                <c:pt idx="16">
                  <c:v>0.10282216063017116</c:v>
                </c:pt>
                <c:pt idx="17">
                  <c:v>9.9675096861614881E-2</c:v>
                </c:pt>
                <c:pt idx="18">
                  <c:v>0.11542699733610254</c:v>
                </c:pt>
                <c:pt idx="19">
                  <c:v>0.15446220827406865</c:v>
                </c:pt>
                <c:pt idx="20">
                  <c:v>0.18421763076797804</c:v>
                </c:pt>
                <c:pt idx="21">
                  <c:v>0.23658776952603533</c:v>
                </c:pt>
                <c:pt idx="22">
                  <c:v>0.25308712668548672</c:v>
                </c:pt>
                <c:pt idx="23">
                  <c:v>0.31396684961346516</c:v>
                </c:pt>
                <c:pt idx="24">
                  <c:v>0.32897755297522324</c:v>
                </c:pt>
                <c:pt idx="25">
                  <c:v>0.46091928581117636</c:v>
                </c:pt>
                <c:pt idx="26">
                  <c:v>0.55648188034603874</c:v>
                </c:pt>
                <c:pt idx="27">
                  <c:v>0.70799268691254169</c:v>
                </c:pt>
                <c:pt idx="28">
                  <c:v>0.93584982470380396</c:v>
                </c:pt>
                <c:pt idx="29">
                  <c:v>1.1131109219827504</c:v>
                </c:pt>
                <c:pt idx="30">
                  <c:v>1.403066699619244</c:v>
                </c:pt>
                <c:pt idx="31">
                  <c:v>1.7170696421756513</c:v>
                </c:pt>
                <c:pt idx="32">
                  <c:v>2.2022804060128656</c:v>
                </c:pt>
                <c:pt idx="33">
                  <c:v>2.7912787501394911</c:v>
                </c:pt>
                <c:pt idx="34">
                  <c:v>3.5135173903753674</c:v>
                </c:pt>
                <c:pt idx="35">
                  <c:v>4.3390850699518291</c:v>
                </c:pt>
                <c:pt idx="36">
                  <c:v>5.1955145377262157</c:v>
                </c:pt>
                <c:pt idx="37">
                  <c:v>5.5440107300681607</c:v>
                </c:pt>
                <c:pt idx="38">
                  <c:v>5.0865720864982791</c:v>
                </c:pt>
                <c:pt idx="39">
                  <c:v>3.855556663382711</c:v>
                </c:pt>
                <c:pt idx="40">
                  <c:v>1.7597912038717918</c:v>
                </c:pt>
                <c:pt idx="41">
                  <c:v>-1.0259344159744292</c:v>
                </c:pt>
                <c:pt idx="42">
                  <c:v>-2.8011720643170395</c:v>
                </c:pt>
                <c:pt idx="43">
                  <c:v>-4.2539943762111347</c:v>
                </c:pt>
                <c:pt idx="44">
                  <c:v>-5.8233440918828192</c:v>
                </c:pt>
                <c:pt idx="45">
                  <c:v>-7.5843544587149738</c:v>
                </c:pt>
                <c:pt idx="46">
                  <c:v>-9.7402125614274659</c:v>
                </c:pt>
                <c:pt idx="47">
                  <c:v>-12.37257918610058</c:v>
                </c:pt>
                <c:pt idx="48">
                  <c:v>-15.555863315068954</c:v>
                </c:pt>
                <c:pt idx="49">
                  <c:v>-19.483815345852271</c:v>
                </c:pt>
                <c:pt idx="50">
                  <c:v>-24.283894454351888</c:v>
                </c:pt>
                <c:pt idx="51">
                  <c:v>-19.466626972234366</c:v>
                </c:pt>
                <c:pt idx="52">
                  <c:v>-15.633352003517762</c:v>
                </c:pt>
                <c:pt idx="53">
                  <c:v>-12.409105485090491</c:v>
                </c:pt>
                <c:pt idx="54">
                  <c:v>-9.8333887755677125</c:v>
                </c:pt>
                <c:pt idx="55">
                  <c:v>-7.6379114005957245</c:v>
                </c:pt>
                <c:pt idx="56">
                  <c:v>-5.8600287524604235</c:v>
                </c:pt>
                <c:pt idx="57">
                  <c:v>-4.3244956150018341</c:v>
                </c:pt>
                <c:pt idx="58">
                  <c:v>-2.9456967958109219</c:v>
                </c:pt>
                <c:pt idx="59">
                  <c:v>-1.4713680026549512</c:v>
                </c:pt>
                <c:pt idx="60">
                  <c:v>0.16900618530835068</c:v>
                </c:pt>
                <c:pt idx="61">
                  <c:v>1.9753152592919496</c:v>
                </c:pt>
                <c:pt idx="62">
                  <c:v>3.3943574766307911</c:v>
                </c:pt>
                <c:pt idx="63">
                  <c:v>4.1998743726384919</c:v>
                </c:pt>
                <c:pt idx="64">
                  <c:v>4.277912128307249</c:v>
                </c:pt>
                <c:pt idx="65">
                  <c:v>3.8536522865497371</c:v>
                </c:pt>
                <c:pt idx="66">
                  <c:v>3.2994872040701413</c:v>
                </c:pt>
                <c:pt idx="67">
                  <c:v>2.6889427012976914</c:v>
                </c:pt>
                <c:pt idx="68">
                  <c:v>2.2913555321004164</c:v>
                </c:pt>
                <c:pt idx="69">
                  <c:v>1.9114040788148106</c:v>
                </c:pt>
                <c:pt idx="70">
                  <c:v>1.5988111248461645</c:v>
                </c:pt>
                <c:pt idx="71">
                  <c:v>1.3339450113247389</c:v>
                </c:pt>
                <c:pt idx="72">
                  <c:v>1.1421526035782741</c:v>
                </c:pt>
                <c:pt idx="73">
                  <c:v>0.93938857585220648</c:v>
                </c:pt>
                <c:pt idx="74">
                  <c:v>0.85888130832700882</c:v>
                </c:pt>
                <c:pt idx="75">
                  <c:v>0.74741222097716353</c:v>
                </c:pt>
                <c:pt idx="76">
                  <c:v>0.64062992462957824</c:v>
                </c:pt>
                <c:pt idx="77">
                  <c:v>0.55871190219259614</c:v>
                </c:pt>
                <c:pt idx="78">
                  <c:v>0.47981165235721451</c:v>
                </c:pt>
                <c:pt idx="79">
                  <c:v>0.46681246243649999</c:v>
                </c:pt>
                <c:pt idx="80">
                  <c:v>0.37896771499497506</c:v>
                </c:pt>
                <c:pt idx="81">
                  <c:v>0.34654537208630193</c:v>
                </c:pt>
                <c:pt idx="82">
                  <c:v>0.33516273515686168</c:v>
                </c:pt>
                <c:pt idx="83">
                  <c:v>0.31573911524625586</c:v>
                </c:pt>
                <c:pt idx="84">
                  <c:v>0.26471203630281936</c:v>
                </c:pt>
                <c:pt idx="85">
                  <c:v>0.29422278104609906</c:v>
                </c:pt>
                <c:pt idx="86">
                  <c:v>0.21717045888332495</c:v>
                </c:pt>
                <c:pt idx="87">
                  <c:v>0.24529517480736865</c:v>
                </c:pt>
                <c:pt idx="88">
                  <c:v>0.27214542845117723</c:v>
                </c:pt>
                <c:pt idx="89">
                  <c:v>0.18503976739736439</c:v>
                </c:pt>
                <c:pt idx="90">
                  <c:v>0.2482157768614936</c:v>
                </c:pt>
                <c:pt idx="91">
                  <c:v>0.2170956218089817</c:v>
                </c:pt>
                <c:pt idx="92">
                  <c:v>0.20314600519218304</c:v>
                </c:pt>
                <c:pt idx="93">
                  <c:v>0.21013471589650892</c:v>
                </c:pt>
                <c:pt idx="94">
                  <c:v>0.21282657344059572</c:v>
                </c:pt>
                <c:pt idx="95">
                  <c:v>0.20473583759931049</c:v>
                </c:pt>
                <c:pt idx="96">
                  <c:v>0.2167880523976671</c:v>
                </c:pt>
                <c:pt idx="97">
                  <c:v>0.1760247178736532</c:v>
                </c:pt>
                <c:pt idx="98">
                  <c:v>0.1857972923050418</c:v>
                </c:pt>
                <c:pt idx="99">
                  <c:v>0.23953946952879626</c:v>
                </c:pt>
                <c:pt idx="100">
                  <c:v>0.20878664593784174</c:v>
                </c:pt>
                <c:pt idx="101">
                  <c:v>0.21535847253039556</c:v>
                </c:pt>
                <c:pt idx="102">
                  <c:v>0.17758640468569006</c:v>
                </c:pt>
                <c:pt idx="103">
                  <c:v>0.204868052045034</c:v>
                </c:pt>
                <c:pt idx="104">
                  <c:v>0.18814655781530157</c:v>
                </c:pt>
                <c:pt idx="105">
                  <c:v>0.22572415800047332</c:v>
                </c:pt>
                <c:pt idx="106">
                  <c:v>0.20450957900338013</c:v>
                </c:pt>
                <c:pt idx="107">
                  <c:v>0.18559443843771042</c:v>
                </c:pt>
                <c:pt idx="108">
                  <c:v>0.1935738755048392</c:v>
                </c:pt>
                <c:pt idx="109">
                  <c:v>0.16318156745305032</c:v>
                </c:pt>
                <c:pt idx="110">
                  <c:v>0.15059519559110668</c:v>
                </c:pt>
                <c:pt idx="111">
                  <c:v>0.14106356752188218</c:v>
                </c:pt>
                <c:pt idx="112">
                  <c:v>0.1488044822084531</c:v>
                </c:pt>
                <c:pt idx="113">
                  <c:v>0.16579451521692354</c:v>
                </c:pt>
                <c:pt idx="114">
                  <c:v>0.12753740253163559</c:v>
                </c:pt>
                <c:pt idx="115">
                  <c:v>0.10839910837202353</c:v>
                </c:pt>
                <c:pt idx="116">
                  <c:v>0.11622077815111544</c:v>
                </c:pt>
                <c:pt idx="117">
                  <c:v>0.10129315985354877</c:v>
                </c:pt>
                <c:pt idx="118">
                  <c:v>5.8430569818489111E-2</c:v>
                </c:pt>
                <c:pt idx="119">
                  <c:v>3.467462070449296E-2</c:v>
                </c:pt>
                <c:pt idx="120">
                  <c:v>1.5346148756828248E-2</c:v>
                </c:pt>
                <c:pt idx="121">
                  <c:v>-5.4427628244720701E-2</c:v>
                </c:pt>
                <c:pt idx="122">
                  <c:v>-0.10268023026450018</c:v>
                </c:pt>
                <c:pt idx="123">
                  <c:v>-0.16156877050820562</c:v>
                </c:pt>
                <c:pt idx="124">
                  <c:v>-0.27453949908234088</c:v>
                </c:pt>
                <c:pt idx="125">
                  <c:v>-0.35100327480785398</c:v>
                </c:pt>
                <c:pt idx="126">
                  <c:v>-0.50851726075300552</c:v>
                </c:pt>
                <c:pt idx="127">
                  <c:v>-0.6740984309973922</c:v>
                </c:pt>
                <c:pt idx="128">
                  <c:v>-0.91943351633034265</c:v>
                </c:pt>
                <c:pt idx="129">
                  <c:v>-1.1653933112643997</c:v>
                </c:pt>
                <c:pt idx="130">
                  <c:v>-1.5256917271636146</c:v>
                </c:pt>
                <c:pt idx="131">
                  <c:v>-1.956633720768203</c:v>
                </c:pt>
                <c:pt idx="132">
                  <c:v>-2.4721472360229555</c:v>
                </c:pt>
                <c:pt idx="133">
                  <c:v>-3.1778053192349254</c:v>
                </c:pt>
                <c:pt idx="134">
                  <c:v>-3.9100065701530067</c:v>
                </c:pt>
                <c:pt idx="135">
                  <c:v>-4.7107372536724288</c:v>
                </c:pt>
                <c:pt idx="136">
                  <c:v>-5.1102897526363202</c:v>
                </c:pt>
                <c:pt idx="137">
                  <c:v>-4.5646494481731503</c:v>
                </c:pt>
                <c:pt idx="138">
                  <c:v>-3.1324892202156507</c:v>
                </c:pt>
                <c:pt idx="139">
                  <c:v>-0.8287544005962143</c:v>
                </c:pt>
                <c:pt idx="140">
                  <c:v>1.3241281547761563</c:v>
                </c:pt>
                <c:pt idx="141">
                  <c:v>2.867893864219214</c:v>
                </c:pt>
                <c:pt idx="142">
                  <c:v>4.3213240291006789</c:v>
                </c:pt>
                <c:pt idx="143">
                  <c:v>5.8698104431405129</c:v>
                </c:pt>
                <c:pt idx="144">
                  <c:v>7.6617310534767915</c:v>
                </c:pt>
                <c:pt idx="145">
                  <c:v>9.8339770794041037</c:v>
                </c:pt>
                <c:pt idx="146">
                  <c:v>12.438394707695135</c:v>
                </c:pt>
                <c:pt idx="147">
                  <c:v>15.647833447084622</c:v>
                </c:pt>
                <c:pt idx="148">
                  <c:v>19.537582147291904</c:v>
                </c:pt>
                <c:pt idx="149">
                  <c:v>24.350475224378361</c:v>
                </c:pt>
                <c:pt idx="150">
                  <c:v>19.560388161631575</c:v>
                </c:pt>
                <c:pt idx="151">
                  <c:v>15.656797532578752</c:v>
                </c:pt>
                <c:pt idx="152">
                  <c:v>12.428114317651053</c:v>
                </c:pt>
                <c:pt idx="153">
                  <c:v>9.8891808133340078</c:v>
                </c:pt>
                <c:pt idx="154">
                  <c:v>7.6732332587398577</c:v>
                </c:pt>
                <c:pt idx="155">
                  <c:v>5.9006683708799033</c:v>
                </c:pt>
                <c:pt idx="156">
                  <c:v>4.3633052772800704</c:v>
                </c:pt>
                <c:pt idx="157">
                  <c:v>2.9598365159494833</c:v>
                </c:pt>
                <c:pt idx="158">
                  <c:v>1.4732091875740998</c:v>
                </c:pt>
                <c:pt idx="159">
                  <c:v>-0.21236501371026348</c:v>
                </c:pt>
                <c:pt idx="160">
                  <c:v>-2.0076525065374442</c:v>
                </c:pt>
                <c:pt idx="161">
                  <c:v>-3.3561494827700797</c:v>
                </c:pt>
                <c:pt idx="162">
                  <c:v>-4.1552153940393994</c:v>
                </c:pt>
                <c:pt idx="163">
                  <c:v>-4.1113278676623111</c:v>
                </c:pt>
                <c:pt idx="164">
                  <c:v>-3.5677134838481996</c:v>
                </c:pt>
                <c:pt idx="165">
                  <c:v>-3.013159537541013</c:v>
                </c:pt>
                <c:pt idx="166">
                  <c:v>-2.4784090545007418</c:v>
                </c:pt>
                <c:pt idx="167">
                  <c:v>-2.0132070993910096</c:v>
                </c:pt>
                <c:pt idx="168">
                  <c:v>-1.6489547545640353</c:v>
                </c:pt>
                <c:pt idx="169">
                  <c:v>-1.3714113186570502</c:v>
                </c:pt>
                <c:pt idx="170">
                  <c:v>-1.1122737519044796</c:v>
                </c:pt>
                <c:pt idx="171">
                  <c:v>-0.91212805223442772</c:v>
                </c:pt>
                <c:pt idx="172">
                  <c:v>-0.79441278221319556</c:v>
                </c:pt>
                <c:pt idx="173">
                  <c:v>-0.64516318190415323</c:v>
                </c:pt>
                <c:pt idx="174">
                  <c:v>-0.53590773389463753</c:v>
                </c:pt>
                <c:pt idx="175">
                  <c:v>-0.45720986194331775</c:v>
                </c:pt>
                <c:pt idx="176">
                  <c:v>-0.37833000472485045</c:v>
                </c:pt>
                <c:pt idx="177">
                  <c:v>-0.28658521512647983</c:v>
                </c:pt>
                <c:pt idx="178">
                  <c:v>-0.2920752250662948</c:v>
                </c:pt>
                <c:pt idx="179">
                  <c:v>-0.21717237493713901</c:v>
                </c:pt>
                <c:pt idx="180">
                  <c:v>-0.19963674890568489</c:v>
                </c:pt>
                <c:pt idx="181">
                  <c:v>-0.16052105447609932</c:v>
                </c:pt>
                <c:pt idx="182">
                  <c:v>-0.14381304816700649</c:v>
                </c:pt>
                <c:pt idx="183">
                  <c:v>-0.11216626557469873</c:v>
                </c:pt>
                <c:pt idx="184">
                  <c:v>-0.13052219290910441</c:v>
                </c:pt>
                <c:pt idx="185">
                  <c:v>-0.10451654553481583</c:v>
                </c:pt>
                <c:pt idx="186">
                  <c:v>-8.2981868726179367E-2</c:v>
                </c:pt>
                <c:pt idx="187">
                  <c:v>-6.7774483668269367E-2</c:v>
                </c:pt>
                <c:pt idx="188">
                  <c:v>-9.2879433427733166E-2</c:v>
                </c:pt>
                <c:pt idx="189">
                  <c:v>-7.6164790302020099E-2</c:v>
                </c:pt>
                <c:pt idx="190">
                  <c:v>-5.355598880697747E-2</c:v>
                </c:pt>
                <c:pt idx="191">
                  <c:v>-3.9177643273600966E-2</c:v>
                </c:pt>
                <c:pt idx="192">
                  <c:v>-6.0421726417260686E-2</c:v>
                </c:pt>
                <c:pt idx="193">
                  <c:v>-0.10163855554826504</c:v>
                </c:pt>
                <c:pt idx="194">
                  <c:v>-5.6801316587052848E-2</c:v>
                </c:pt>
                <c:pt idx="195">
                  <c:v>-3.8886443114916208E-2</c:v>
                </c:pt>
                <c:pt idx="196">
                  <c:v>-6.3276934888600159E-2</c:v>
                </c:pt>
                <c:pt idx="197">
                  <c:v>-6.0207687963517421E-2</c:v>
                </c:pt>
                <c:pt idx="198">
                  <c:v>-3.7656358830527627E-2</c:v>
                </c:pt>
                <c:pt idx="199">
                  <c:v>-2.831696431149763E-2</c:v>
                </c:pt>
                <c:pt idx="200">
                  <c:v>-4.7475431928021505E-2</c:v>
                </c:pt>
                <c:pt idx="201">
                  <c:v>-2.3691150144593755E-2</c:v>
                </c:pt>
                <c:pt idx="202">
                  <c:v>-4.8665970527568408E-2</c:v>
                </c:pt>
                <c:pt idx="203">
                  <c:v>-2.6599676344404282E-2</c:v>
                </c:pt>
                <c:pt idx="204">
                  <c:v>-1.0303878096576359E-2</c:v>
                </c:pt>
                <c:pt idx="205">
                  <c:v>-3.6070566696851998E-2</c:v>
                </c:pt>
                <c:pt idx="206">
                  <c:v>-2.584238579509044E-2</c:v>
                </c:pt>
                <c:pt idx="207">
                  <c:v>-6.6304064758314782E-2</c:v>
                </c:pt>
                <c:pt idx="208">
                  <c:v>-5.2598358844137653E-2</c:v>
                </c:pt>
                <c:pt idx="209">
                  <c:v>-1.4035258638330279E-2</c:v>
                </c:pt>
                <c:pt idx="210">
                  <c:v>6.4246878716139044E-3</c:v>
                </c:pt>
                <c:pt idx="211">
                  <c:v>3.1535098666576333E-2</c:v>
                </c:pt>
                <c:pt idx="212">
                  <c:v>-3.2955318330975649E-3</c:v>
                </c:pt>
                <c:pt idx="213">
                  <c:v>3.9135398465259999E-2</c:v>
                </c:pt>
                <c:pt idx="214">
                  <c:v>4.2821559968610139E-2</c:v>
                </c:pt>
                <c:pt idx="215">
                  <c:v>8.5687282895407682E-2</c:v>
                </c:pt>
                <c:pt idx="216">
                  <c:v>4.8718707369365358E-2</c:v>
                </c:pt>
                <c:pt idx="217">
                  <c:v>4.2100962375324347E-2</c:v>
                </c:pt>
                <c:pt idx="218">
                  <c:v>0.12878296827579766</c:v>
                </c:pt>
                <c:pt idx="219">
                  <c:v>0.15425071610724686</c:v>
                </c:pt>
                <c:pt idx="220">
                  <c:v>0.19746634341255193</c:v>
                </c:pt>
                <c:pt idx="221">
                  <c:v>0.29601645041962438</c:v>
                </c:pt>
                <c:pt idx="222">
                  <c:v>0.31548669641059857</c:v>
                </c:pt>
                <c:pt idx="223">
                  <c:v>0.42289736351778623</c:v>
                </c:pt>
                <c:pt idx="224">
                  <c:v>0.55182713412676465</c:v>
                </c:pt>
                <c:pt idx="225">
                  <c:v>0.67012113601299395</c:v>
                </c:pt>
                <c:pt idx="226">
                  <c:v>0.83733780032670857</c:v>
                </c:pt>
                <c:pt idx="227">
                  <c:v>1.0173301266559311</c:v>
                </c:pt>
                <c:pt idx="228">
                  <c:v>1.260748284262899</c:v>
                </c:pt>
                <c:pt idx="229">
                  <c:v>1.6341909083826587</c:v>
                </c:pt>
                <c:pt idx="230">
                  <c:v>2.0826873107761057</c:v>
                </c:pt>
                <c:pt idx="231">
                  <c:v>2.5820622562458073</c:v>
                </c:pt>
                <c:pt idx="232">
                  <c:v>3.07731979624063</c:v>
                </c:pt>
                <c:pt idx="233">
                  <c:v>3.9125813658088391</c:v>
                </c:pt>
                <c:pt idx="234">
                  <c:v>4.5476529941965023</c:v>
                </c:pt>
                <c:pt idx="235">
                  <c:v>4.6891906431513721</c:v>
                </c:pt>
                <c:pt idx="236">
                  <c:v>3.9469819438731784</c:v>
                </c:pt>
                <c:pt idx="237">
                  <c:v>2.3662183446997624</c:v>
                </c:pt>
                <c:pt idx="238">
                  <c:v>0.16073804789465423</c:v>
                </c:pt>
                <c:pt idx="239">
                  <c:v>-1.7198667589559771</c:v>
                </c:pt>
                <c:pt idx="240">
                  <c:v>-3.2207476180180965</c:v>
                </c:pt>
                <c:pt idx="241">
                  <c:v>-4.6283047014897569</c:v>
                </c:pt>
                <c:pt idx="242">
                  <c:v>-6.1529435299530943</c:v>
                </c:pt>
                <c:pt idx="243">
                  <c:v>-7.944782204966045</c:v>
                </c:pt>
                <c:pt idx="244">
                  <c:v>-10.091681361809558</c:v>
                </c:pt>
                <c:pt idx="245">
                  <c:v>-12.706475653907793</c:v>
                </c:pt>
                <c:pt idx="246">
                  <c:v>-15.936981251701427</c:v>
                </c:pt>
                <c:pt idx="247">
                  <c:v>-19.796000085619045</c:v>
                </c:pt>
                <c:pt idx="248">
                  <c:v>-24.628562889744696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99-4317-9351-C1C2B1B8E9D4}"/>
            </c:ext>
          </c:extLst>
        </c:ser>
        <c:ser>
          <c:idx val="1"/>
          <c:order val="1"/>
          <c:tx>
            <c:v>Fe2O3 Sample #1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'#1'!$G$9:$G$257</c:f>
              <c:numCache>
                <c:formatCode>General</c:formatCode>
                <c:ptCount val="249"/>
                <c:pt idx="0">
                  <c:v>-2.890131700064162</c:v>
                </c:pt>
                <c:pt idx="1">
                  <c:v>46.24210482943306</c:v>
                </c:pt>
                <c:pt idx="2">
                  <c:v>48.409705679625482</c:v>
                </c:pt>
                <c:pt idx="3">
                  <c:v>84.536345408545245</c:v>
                </c:pt>
                <c:pt idx="4">
                  <c:v>121.38552428791446</c:v>
                </c:pt>
                <c:pt idx="5">
                  <c:v>168.3501611530159</c:v>
                </c:pt>
                <c:pt idx="6">
                  <c:v>218.20493564716512</c:v>
                </c:pt>
                <c:pt idx="7">
                  <c:v>255.77664893379628</c:v>
                </c:pt>
                <c:pt idx="8">
                  <c:v>385.83256713610564</c:v>
                </c:pt>
                <c:pt idx="9">
                  <c:v>426.29441805178459</c:v>
                </c:pt>
                <c:pt idx="10">
                  <c:v>576.58123325281213</c:v>
                </c:pt>
                <c:pt idx="11">
                  <c:v>702.30198295704599</c:v>
                </c:pt>
                <c:pt idx="12">
                  <c:v>870.65214411006286</c:v>
                </c:pt>
                <c:pt idx="13">
                  <c:v>1072.9613607429628</c:v>
                </c:pt>
                <c:pt idx="14">
                  <c:v>1322.9577059595413</c:v>
                </c:pt>
                <c:pt idx="15">
                  <c:v>1621.3638137739833</c:v>
                </c:pt>
                <c:pt idx="16">
                  <c:v>2000.6935475287985</c:v>
                </c:pt>
                <c:pt idx="17">
                  <c:v>2471.7850513989547</c:v>
                </c:pt>
                <c:pt idx="18">
                  <c:v>3054.8690421420729</c:v>
                </c:pt>
                <c:pt idx="19">
                  <c:v>3749.2231893079179</c:v>
                </c:pt>
                <c:pt idx="20">
                  <c:v>4629.2683234010647</c:v>
                </c:pt>
                <c:pt idx="21">
                  <c:v>5701.5070880753337</c:v>
                </c:pt>
                <c:pt idx="22">
                  <c:v>7026.6323925134657</c:v>
                </c:pt>
                <c:pt idx="23">
                  <c:v>8641.4934108516827</c:v>
                </c:pt>
                <c:pt idx="24">
                  <c:v>10655.915335048201</c:v>
                </c:pt>
                <c:pt idx="25">
                  <c:v>13103.134472732392</c:v>
                </c:pt>
                <c:pt idx="26">
                  <c:v>16125.488930567537</c:v>
                </c:pt>
                <c:pt idx="27">
                  <c:v>19832.805114767849</c:v>
                </c:pt>
                <c:pt idx="28">
                  <c:v>24407.88195838415</c:v>
                </c:pt>
                <c:pt idx="29">
                  <c:v>30069.652220124215</c:v>
                </c:pt>
                <c:pt idx="30">
                  <c:v>37048.596231852644</c:v>
                </c:pt>
                <c:pt idx="31">
                  <c:v>45635.899832521274</c:v>
                </c:pt>
                <c:pt idx="32">
                  <c:v>56196.443263022862</c:v>
                </c:pt>
                <c:pt idx="33">
                  <c:v>69227.319798487879</c:v>
                </c:pt>
                <c:pt idx="34">
                  <c:v>85235.758107646849</c:v>
                </c:pt>
                <c:pt idx="35">
                  <c:v>104986.19781943205</c:v>
                </c:pt>
                <c:pt idx="36">
                  <c:v>129289.31499712274</c:v>
                </c:pt>
                <c:pt idx="37">
                  <c:v>159299.71638867055</c:v>
                </c:pt>
                <c:pt idx="38">
                  <c:v>196104.83610827033</c:v>
                </c:pt>
                <c:pt idx="39">
                  <c:v>241529.01100482373</c:v>
                </c:pt>
                <c:pt idx="40">
                  <c:v>297478.34591633856</c:v>
                </c:pt>
                <c:pt idx="41">
                  <c:v>366324.90422163956</c:v>
                </c:pt>
                <c:pt idx="42">
                  <c:v>451182.77619395842</c:v>
                </c:pt>
                <c:pt idx="43">
                  <c:v>555624.18598263175</c:v>
                </c:pt>
                <c:pt idx="44">
                  <c:v>684297.90726172749</c:v>
                </c:pt>
                <c:pt idx="45">
                  <c:v>842715.43763145141</c:v>
                </c:pt>
                <c:pt idx="46">
                  <c:v>1037812.315099586</c:v>
                </c:pt>
                <c:pt idx="47">
                  <c:v>1278123.1069208644</c:v>
                </c:pt>
                <c:pt idx="48">
                  <c:v>1574033.6056805199</c:v>
                </c:pt>
                <c:pt idx="49">
                  <c:v>1938455.9944044524</c:v>
                </c:pt>
                <c:pt idx="50">
                  <c:v>2387293.5277028549</c:v>
                </c:pt>
                <c:pt idx="51">
                  <c:v>1938464.0764914064</c:v>
                </c:pt>
                <c:pt idx="52">
                  <c:v>1574028.4766637993</c:v>
                </c:pt>
                <c:pt idx="53">
                  <c:v>1278116.6179375851</c:v>
                </c:pt>
                <c:pt idx="54">
                  <c:v>1037820.9411731618</c:v>
                </c:pt>
                <c:pt idx="55">
                  <c:v>842716.87531038467</c:v>
                </c:pt>
                <c:pt idx="56">
                  <c:v>684296.43072661082</c:v>
                </c:pt>
                <c:pt idx="57">
                  <c:v>555612.60683882213</c:v>
                </c:pt>
                <c:pt idx="58">
                  <c:v>451153.86719062336</c:v>
                </c:pt>
                <c:pt idx="59">
                  <c:v>366319.85291729338</c:v>
                </c:pt>
                <c:pt idx="60">
                  <c:v>297445.12387621566</c:v>
                </c:pt>
                <c:pt idx="61">
                  <c:v>241497.93576904773</c:v>
                </c:pt>
                <c:pt idx="62">
                  <c:v>196097.58942934257</c:v>
                </c:pt>
                <c:pt idx="63">
                  <c:v>159218.06982515226</c:v>
                </c:pt>
                <c:pt idx="64">
                  <c:v>129301.59840932561</c:v>
                </c:pt>
                <c:pt idx="65">
                  <c:v>104978.97056859829</c:v>
                </c:pt>
                <c:pt idx="66">
                  <c:v>85247.317823362551</c:v>
                </c:pt>
                <c:pt idx="67">
                  <c:v>69220.097404677508</c:v>
                </c:pt>
                <c:pt idx="68">
                  <c:v>56188.492315701063</c:v>
                </c:pt>
                <c:pt idx="69">
                  <c:v>45602.663221328155</c:v>
                </c:pt>
                <c:pt idx="70">
                  <c:v>37019.696942564369</c:v>
                </c:pt>
                <c:pt idx="71">
                  <c:v>30078.320792654817</c:v>
                </c:pt>
                <c:pt idx="72">
                  <c:v>24397.768421389086</c:v>
                </c:pt>
                <c:pt idx="73">
                  <c:v>19801.735950271312</c:v>
                </c:pt>
                <c:pt idx="74">
                  <c:v>16088.639908213312</c:v>
                </c:pt>
                <c:pt idx="75">
                  <c:v>13047.498483829111</c:v>
                </c:pt>
                <c:pt idx="76">
                  <c:v>10616.175776637248</c:v>
                </c:pt>
                <c:pt idx="77">
                  <c:v>8603.9219062652664</c:v>
                </c:pt>
                <c:pt idx="78">
                  <c:v>6975.3325112592975</c:v>
                </c:pt>
                <c:pt idx="79">
                  <c:v>5650.9299926173289</c:v>
                </c:pt>
                <c:pt idx="80">
                  <c:v>4585.1937198149017</c:v>
                </c:pt>
                <c:pt idx="81">
                  <c:v>3718.8768106075277</c:v>
                </c:pt>
                <c:pt idx="82">
                  <c:v>3002.124196423491</c:v>
                </c:pt>
                <c:pt idx="83">
                  <c:v>2419.0401297893827</c:v>
                </c:pt>
                <c:pt idx="84">
                  <c:v>1968.9022043640027</c:v>
                </c:pt>
                <c:pt idx="85">
                  <c:v>1572.9541650125996</c:v>
                </c:pt>
                <c:pt idx="86">
                  <c:v>1273.8254990749613</c:v>
                </c:pt>
                <c:pt idx="87">
                  <c:v>1028.8867951022896</c:v>
                </c:pt>
                <c:pt idx="88">
                  <c:v>822.96497758088594</c:v>
                </c:pt>
                <c:pt idx="89">
                  <c:v>653.1697760724669</c:v>
                </c:pt>
                <c:pt idx="90">
                  <c:v>617.7656422916873</c:v>
                </c:pt>
                <c:pt idx="91">
                  <c:v>412.56626905699403</c:v>
                </c:pt>
                <c:pt idx="92">
                  <c:v>431.35215415943088</c:v>
                </c:pt>
                <c:pt idx="93">
                  <c:v>256.49917859787087</c:v>
                </c:pt>
                <c:pt idx="94">
                  <c:v>258.66678656284409</c:v>
                </c:pt>
                <c:pt idx="95">
                  <c:v>253.60905045519701</c:v>
                </c:pt>
                <c:pt idx="96">
                  <c:v>203.75426647467387</c:v>
                </c:pt>
                <c:pt idx="97">
                  <c:v>190.02615542537887</c:v>
                </c:pt>
                <c:pt idx="98">
                  <c:v>147.39671551747526</c:v>
                </c:pt>
                <c:pt idx="99">
                  <c:v>143.78404348116553</c:v>
                </c:pt>
                <c:pt idx="100">
                  <c:v>-124.27565717377493</c:v>
                </c:pt>
                <c:pt idx="101">
                  <c:v>-124.99819158103688</c:v>
                </c:pt>
                <c:pt idx="102">
                  <c:v>-127.16578531644885</c:v>
                </c:pt>
                <c:pt idx="103">
                  <c:v>-135.11364956676988</c:v>
                </c:pt>
                <c:pt idx="104">
                  <c:v>-178.46562388193544</c:v>
                </c:pt>
                <c:pt idx="105">
                  <c:v>-218.92746531124055</c:v>
                </c:pt>
                <c:pt idx="106">
                  <c:v>-255.77663944742241</c:v>
                </c:pt>
                <c:pt idx="107">
                  <c:v>-401.72827666399991</c:v>
                </c:pt>
                <c:pt idx="108">
                  <c:v>-434.96479299343247</c:v>
                </c:pt>
                <c:pt idx="109">
                  <c:v>-624.99095790518527</c:v>
                </c:pt>
                <c:pt idx="110">
                  <c:v>-677.01332139155988</c:v>
                </c:pt>
                <c:pt idx="111">
                  <c:v>-920.50690911783886</c:v>
                </c:pt>
                <c:pt idx="112">
                  <c:v>-1121.371085395336</c:v>
                </c:pt>
                <c:pt idx="113">
                  <c:v>-1366.309751422509</c:v>
                </c:pt>
                <c:pt idx="114">
                  <c:v>-1655.3229071993653</c:v>
                </c:pt>
                <c:pt idx="115">
                  <c:v>-2040.4328782667744</c:v>
                </c:pt>
                <c:pt idx="116">
                  <c:v>-2510.079265890538</c:v>
                </c:pt>
                <c:pt idx="117">
                  <c:v>-3090.2731000318608</c:v>
                </c:pt>
                <c:pt idx="118">
                  <c:v>-3780.2922020224864</c:v>
                </c:pt>
                <c:pt idx="119">
                  <c:v>-4647.3315934620668</c:v>
                </c:pt>
                <c:pt idx="120">
                  <c:v>-5717.4029114397144</c:v>
                </c:pt>
                <c:pt idx="121">
                  <c:v>-7030.9678930346299</c:v>
                </c:pt>
                <c:pt idx="122">
                  <c:v>-8669.672039291494</c:v>
                </c:pt>
                <c:pt idx="123">
                  <c:v>-10654.469763455856</c:v>
                </c:pt>
                <c:pt idx="124">
                  <c:v>-13111.082384414534</c:v>
                </c:pt>
                <c:pt idx="125">
                  <c:v>-16150.055754974197</c:v>
                </c:pt>
                <c:pt idx="126">
                  <c:v>-19879.770102628834</c:v>
                </c:pt>
                <c:pt idx="127">
                  <c:v>-24469.299019400885</c:v>
                </c:pt>
                <c:pt idx="128">
                  <c:v>-30132.514245605329</c:v>
                </c:pt>
                <c:pt idx="129">
                  <c:v>-37093.393773016971</c:v>
                </c:pt>
                <c:pt idx="130">
                  <c:v>-45677.082534012872</c:v>
                </c:pt>
                <c:pt idx="131">
                  <c:v>-56204.38692480958</c:v>
                </c:pt>
                <c:pt idx="132">
                  <c:v>-69261.280106169099</c:v>
                </c:pt>
                <c:pt idx="133">
                  <c:v>-85292.119007294415</c:v>
                </c:pt>
                <c:pt idx="134">
                  <c:v>-105015.10196574339</c:v>
                </c:pt>
                <c:pt idx="135">
                  <c:v>-129311.71073206539</c:v>
                </c:pt>
                <c:pt idx="136">
                  <c:v>-159299.71638867055</c:v>
                </c:pt>
                <c:pt idx="137">
                  <c:v>-196114.93871696267</c:v>
                </c:pt>
                <c:pt idx="138">
                  <c:v>-241559.36740113472</c:v>
                </c:pt>
                <c:pt idx="139">
                  <c:v>-297492.07186449447</c:v>
                </c:pt>
                <c:pt idx="140">
                  <c:v>-366388.47294402687</c:v>
                </c:pt>
                <c:pt idx="141">
                  <c:v>-451123.52050835901</c:v>
                </c:pt>
                <c:pt idx="142">
                  <c:v>-555569.28219000751</c:v>
                </c:pt>
                <c:pt idx="143">
                  <c:v>-684250.19186374976</c:v>
                </c:pt>
                <c:pt idx="144">
                  <c:v>-842670.59759133228</c:v>
                </c:pt>
                <c:pt idx="145">
                  <c:v>-1037794.2469724978</c:v>
                </c:pt>
                <c:pt idx="146">
                  <c:v>-1278074.692111508</c:v>
                </c:pt>
                <c:pt idx="147">
                  <c:v>-1574035.004503262</c:v>
                </c:pt>
                <c:pt idx="148">
                  <c:v>-1938461.1234211733</c:v>
                </c:pt>
                <c:pt idx="149">
                  <c:v>-2387284.1245055334</c:v>
                </c:pt>
                <c:pt idx="150">
                  <c:v>-1938456.0721168271</c:v>
                </c:pt>
                <c:pt idx="151">
                  <c:v>-1574007.5720350435</c:v>
                </c:pt>
                <c:pt idx="152">
                  <c:v>-1278092.7602385962</c:v>
                </c:pt>
                <c:pt idx="153">
                  <c:v>-1037799.9588320316</c:v>
                </c:pt>
                <c:pt idx="154">
                  <c:v>-842690.88052109932</c:v>
                </c:pt>
                <c:pt idx="155">
                  <c:v>-684253.80548916664</c:v>
                </c:pt>
                <c:pt idx="156">
                  <c:v>-555592.4016214381</c:v>
                </c:pt>
                <c:pt idx="157">
                  <c:v>-451159.65676252783</c:v>
                </c:pt>
                <c:pt idx="158">
                  <c:v>-366310.44971997204</c:v>
                </c:pt>
                <c:pt idx="159">
                  <c:v>-297506.53608020855</c:v>
                </c:pt>
                <c:pt idx="160">
                  <c:v>-241603.44003155571</c:v>
                </c:pt>
                <c:pt idx="161">
                  <c:v>-196115.65755642697</c:v>
                </c:pt>
                <c:pt idx="162">
                  <c:v>-159247.69281092862</c:v>
                </c:pt>
                <c:pt idx="163">
                  <c:v>-129280.64035331307</c:v>
                </c:pt>
                <c:pt idx="164">
                  <c:v>-105041.83016556715</c:v>
                </c:pt>
                <c:pt idx="165">
                  <c:v>-85302.955026521362</c:v>
                </c:pt>
                <c:pt idx="166">
                  <c:v>-69275.008482836813</c:v>
                </c:pt>
                <c:pt idx="167">
                  <c:v>-56254.965538087366</c:v>
                </c:pt>
                <c:pt idx="168">
                  <c:v>-45687.199713775481</c:v>
                </c:pt>
                <c:pt idx="169">
                  <c:v>-37099.173630874582</c:v>
                </c:pt>
                <c:pt idx="170">
                  <c:v>-30131.788120605601</c:v>
                </c:pt>
                <c:pt idx="171">
                  <c:v>-24465.685393984004</c:v>
                </c:pt>
                <c:pt idx="172">
                  <c:v>-19872.545280306767</c:v>
                </c:pt>
                <c:pt idx="173">
                  <c:v>-16139.940396595404</c:v>
                </c:pt>
                <c:pt idx="174">
                  <c:v>-13126.978814906863</c:v>
                </c:pt>
                <c:pt idx="175">
                  <c:v>-10651.579834527092</c:v>
                </c:pt>
                <c:pt idx="176">
                  <c:v>-8646.5510900410391</c:v>
                </c:pt>
                <c:pt idx="177">
                  <c:v>-7021.5747133240675</c:v>
                </c:pt>
                <c:pt idx="178">
                  <c:v>-5711.6224464541365</c:v>
                </c:pt>
                <c:pt idx="179">
                  <c:v>-4640.8289498082477</c:v>
                </c:pt>
                <c:pt idx="180">
                  <c:v>-3780.2922020224864</c:v>
                </c:pt>
                <c:pt idx="181">
                  <c:v>-3059.2043908812507</c:v>
                </c:pt>
                <c:pt idx="182">
                  <c:v>-2523.0849326531234</c:v>
                </c:pt>
                <c:pt idx="183">
                  <c:v>-2037.5427216649789</c:v>
                </c:pt>
                <c:pt idx="184">
                  <c:v>-1660.3805104977732</c:v>
                </c:pt>
                <c:pt idx="185">
                  <c:v>-1369.9223143655217</c:v>
                </c:pt>
                <c:pt idx="186">
                  <c:v>-1094.6373455289481</c:v>
                </c:pt>
                <c:pt idx="187">
                  <c:v>-914.72659591424781</c:v>
                </c:pt>
                <c:pt idx="188">
                  <c:v>-750.71166966392366</c:v>
                </c:pt>
                <c:pt idx="189">
                  <c:v>-617.04310314123893</c:v>
                </c:pt>
                <c:pt idx="190">
                  <c:v>-521.66875111013746</c:v>
                </c:pt>
                <c:pt idx="191">
                  <c:v>-410.39867057839552</c:v>
                </c:pt>
                <c:pt idx="192">
                  <c:v>-339.59045993507959</c:v>
                </c:pt>
                <c:pt idx="193">
                  <c:v>-296.23849036310054</c:v>
                </c:pt>
                <c:pt idx="194">
                  <c:v>-239.15839076907963</c:v>
                </c:pt>
                <c:pt idx="195">
                  <c:v>-208.81201206869406</c:v>
                </c:pt>
                <c:pt idx="196">
                  <c:v>-170.51776911798828</c:v>
                </c:pt>
                <c:pt idx="197">
                  <c:v>-135.11365430995642</c:v>
                </c:pt>
                <c:pt idx="198">
                  <c:v>-132.94605108817058</c:v>
                </c:pt>
                <c:pt idx="199">
                  <c:v>55.635033151090738</c:v>
                </c:pt>
                <c:pt idx="200">
                  <c:v>50.577304158224393</c:v>
                </c:pt>
                <c:pt idx="201">
                  <c:v>91.761679994790867</c:v>
                </c:pt>
                <c:pt idx="202">
                  <c:v>130.05592294549663</c:v>
                </c:pt>
                <c:pt idx="203">
                  <c:v>149.56431399607462</c:v>
                </c:pt>
                <c:pt idx="204">
                  <c:v>240.60345009722965</c:v>
                </c:pt>
                <c:pt idx="205">
                  <c:v>280.34276186245933</c:v>
                </c:pt>
                <c:pt idx="206">
                  <c:v>372.82695729176436</c:v>
                </c:pt>
                <c:pt idx="207">
                  <c:v>428.46203550313083</c:v>
                </c:pt>
                <c:pt idx="208">
                  <c:v>579.47137088185991</c:v>
                </c:pt>
                <c:pt idx="209">
                  <c:v>710.24985669374018</c:v>
                </c:pt>
                <c:pt idx="210">
                  <c:v>871.3746642877602</c:v>
                </c:pt>
                <c:pt idx="211">
                  <c:v>1070.7937622643635</c:v>
                </c:pt>
                <c:pt idx="212">
                  <c:v>1324.4028222059337</c:v>
                </c:pt>
                <c:pt idx="213">
                  <c:v>1622.8089300203756</c:v>
                </c:pt>
                <c:pt idx="214">
                  <c:v>2004.3062622537902</c:v>
                </c:pt>
                <c:pt idx="215">
                  <c:v>2476.1202483561533</c:v>
                </c:pt>
                <c:pt idx="216">
                  <c:v>3041.1409690382707</c:v>
                </c:pt>
                <c:pt idx="217">
                  <c:v>3749.2231893079179</c:v>
                </c:pt>
                <c:pt idx="218">
                  <c:v>4616.9852147616757</c:v>
                </c:pt>
                <c:pt idx="219">
                  <c:v>5695.0044444215137</c:v>
                </c:pt>
                <c:pt idx="220">
                  <c:v>7029.5226250062587</c:v>
                </c:pt>
                <c:pt idx="221">
                  <c:v>8645.8286078088495</c:v>
                </c:pt>
                <c:pt idx="222">
                  <c:v>10635.684011162648</c:v>
                </c:pt>
                <c:pt idx="223">
                  <c:v>13104.579437196773</c:v>
                </c:pt>
                <c:pt idx="224">
                  <c:v>16126.212019927691</c:v>
                </c:pt>
                <c:pt idx="225">
                  <c:v>19832.083239663621</c:v>
                </c:pt>
                <c:pt idx="226">
                  <c:v>24412.941762521259</c:v>
                </c:pt>
                <c:pt idx="227">
                  <c:v>30078.320792654817</c:v>
                </c:pt>
                <c:pt idx="228">
                  <c:v>37048.596231852644</c:v>
                </c:pt>
                <c:pt idx="229">
                  <c:v>45632.288635616089</c:v>
                </c:pt>
                <c:pt idx="230">
                  <c:v>56181.991189867033</c:v>
                </c:pt>
                <c:pt idx="231">
                  <c:v>69233.102084857179</c:v>
                </c:pt>
                <c:pt idx="232">
                  <c:v>85263.214860982276</c:v>
                </c:pt>
                <c:pt idx="233">
                  <c:v>104973.91440722841</c:v>
                </c:pt>
                <c:pt idx="234">
                  <c:v>129279.20267438378</c:v>
                </c:pt>
                <c:pt idx="235">
                  <c:v>159304.77740706416</c:v>
                </c:pt>
                <c:pt idx="236">
                  <c:v>196107.71146612891</c:v>
                </c:pt>
                <c:pt idx="237">
                  <c:v>241535.51941619243</c:v>
                </c:pt>
                <c:pt idx="238">
                  <c:v>297466.06736115861</c:v>
                </c:pt>
                <c:pt idx="239">
                  <c:v>366375.47554938192</c:v>
                </c:pt>
                <c:pt idx="240">
                  <c:v>451179.8619799125</c:v>
                </c:pt>
                <c:pt idx="241">
                  <c:v>555609.73148096353</c:v>
                </c:pt>
                <c:pt idx="242">
                  <c:v>684323.20263964566</c:v>
                </c:pt>
                <c:pt idx="243">
                  <c:v>842721.1883471763</c:v>
                </c:pt>
                <c:pt idx="244">
                  <c:v>1037823.1171196494</c:v>
                </c:pt>
                <c:pt idx="245">
                  <c:v>1278096.4127202004</c:v>
                </c:pt>
                <c:pt idx="246">
                  <c:v>1574001.8213193263</c:v>
                </c:pt>
                <c:pt idx="247">
                  <c:v>1938474.8007990951</c:v>
                </c:pt>
                <c:pt idx="248">
                  <c:v>2387306.5056694057</c:v>
                </c:pt>
              </c:numCache>
            </c:numRef>
          </c:xVal>
          <c:yVal>
            <c:numRef>
              <c:f>'#1'!$H$9:$H$257</c:f>
              <c:numCache>
                <c:formatCode>General</c:formatCode>
                <c:ptCount val="249"/>
                <c:pt idx="0">
                  <c:v>3646.6649817528064</c:v>
                </c:pt>
                <c:pt idx="1">
                  <c:v>3986.4550972386733</c:v>
                </c:pt>
                <c:pt idx="2">
                  <c:v>3947.8998039451562</c:v>
                </c:pt>
                <c:pt idx="3">
                  <c:v>4133.5566059158591</c:v>
                </c:pt>
                <c:pt idx="4">
                  <c:v>3971.757746941023</c:v>
                </c:pt>
                <c:pt idx="5">
                  <c:v>4202.3277144837657</c:v>
                </c:pt>
                <c:pt idx="6">
                  <c:v>4303.2172502847143</c:v>
                </c:pt>
                <c:pt idx="7">
                  <c:v>4012.6255538005053</c:v>
                </c:pt>
                <c:pt idx="8">
                  <c:v>4183.0101422088228</c:v>
                </c:pt>
                <c:pt idx="9">
                  <c:v>4299.5011738986432</c:v>
                </c:pt>
                <c:pt idx="10">
                  <c:v>4003.9078971636482</c:v>
                </c:pt>
                <c:pt idx="11">
                  <c:v>4558.562268280476</c:v>
                </c:pt>
                <c:pt idx="12">
                  <c:v>5144.0501947259718</c:v>
                </c:pt>
                <c:pt idx="13">
                  <c:v>5490.0713194591544</c:v>
                </c:pt>
                <c:pt idx="14">
                  <c:v>5487.3842871490042</c:v>
                </c:pt>
                <c:pt idx="15">
                  <c:v>6418.3614692486408</c:v>
                </c:pt>
                <c:pt idx="16">
                  <c:v>6707.2201942121574</c:v>
                </c:pt>
                <c:pt idx="17">
                  <c:v>7288.8727336497905</c:v>
                </c:pt>
                <c:pt idx="18">
                  <c:v>7825.658131775298</c:v>
                </c:pt>
                <c:pt idx="19">
                  <c:v>8699.5206942020832</c:v>
                </c:pt>
                <c:pt idx="20">
                  <c:v>9943.1026946729962</c:v>
                </c:pt>
                <c:pt idx="21">
                  <c:v>10937.910632538693</c:v>
                </c:pt>
                <c:pt idx="22">
                  <c:v>13247.155494142384</c:v>
                </c:pt>
                <c:pt idx="23">
                  <c:v>15225.623800109572</c:v>
                </c:pt>
                <c:pt idx="24">
                  <c:v>18991.329215122962</c:v>
                </c:pt>
                <c:pt idx="25">
                  <c:v>22731.07745798368</c:v>
                </c:pt>
                <c:pt idx="26">
                  <c:v>27783.663829365829</c:v>
                </c:pt>
                <c:pt idx="27">
                  <c:v>34024.321772234529</c:v>
                </c:pt>
                <c:pt idx="28">
                  <c:v>43071.102350898815</c:v>
                </c:pt>
                <c:pt idx="29">
                  <c:v>54607.12102746289</c:v>
                </c:pt>
                <c:pt idx="30">
                  <c:v>70608.502272136553</c:v>
                </c:pt>
                <c:pt idx="31">
                  <c:v>88161.533769356654</c:v>
                </c:pt>
                <c:pt idx="32">
                  <c:v>115084.350138647</c:v>
                </c:pt>
                <c:pt idx="33">
                  <c:v>146378.67185236834</c:v>
                </c:pt>
                <c:pt idx="34">
                  <c:v>182347.01708830919</c:v>
                </c:pt>
                <c:pt idx="35">
                  <c:v>216441.8879959769</c:v>
                </c:pt>
                <c:pt idx="36">
                  <c:v>247153.42055919702</c:v>
                </c:pt>
                <c:pt idx="37">
                  <c:v>275073.87242409826</c:v>
                </c:pt>
                <c:pt idx="38">
                  <c:v>300493.25949740433</c:v>
                </c:pt>
                <c:pt idx="39">
                  <c:v>324333.0191531569</c:v>
                </c:pt>
                <c:pt idx="40">
                  <c:v>345975.00620721193</c:v>
                </c:pt>
                <c:pt idx="41">
                  <c:v>366590.40882449382</c:v>
                </c:pt>
                <c:pt idx="42">
                  <c:v>384732.75916498102</c:v>
                </c:pt>
                <c:pt idx="43">
                  <c:v>400766.77722008934</c:v>
                </c:pt>
                <c:pt idx="44">
                  <c:v>414810.95574964245</c:v>
                </c:pt>
                <c:pt idx="45">
                  <c:v>426521.6263304418</c:v>
                </c:pt>
                <c:pt idx="46">
                  <c:v>435133.09042549809</c:v>
                </c:pt>
                <c:pt idx="47">
                  <c:v>439965.21222983365</c:v>
                </c:pt>
                <c:pt idx="48">
                  <c:v>439825.68832132261</c:v>
                </c:pt>
                <c:pt idx="49">
                  <c:v>434620.60740043042</c:v>
                </c:pt>
                <c:pt idx="50">
                  <c:v>422223.4059273185</c:v>
                </c:pt>
                <c:pt idx="51">
                  <c:v>435895.27957870974</c:v>
                </c:pt>
                <c:pt idx="52">
                  <c:v>440811.00713395316</c:v>
                </c:pt>
                <c:pt idx="53">
                  <c:v>441259.80801783339</c:v>
                </c:pt>
                <c:pt idx="54">
                  <c:v>436773.73094532208</c:v>
                </c:pt>
                <c:pt idx="55">
                  <c:v>428247.56569664879</c:v>
                </c:pt>
                <c:pt idx="56">
                  <c:v>417305.69212323404</c:v>
                </c:pt>
                <c:pt idx="57">
                  <c:v>404533.69508832879</c:v>
                </c:pt>
                <c:pt idx="58">
                  <c:v>389157.85638250672</c:v>
                </c:pt>
                <c:pt idx="59">
                  <c:v>372736.06429102272</c:v>
                </c:pt>
                <c:pt idx="60">
                  <c:v>354859.67707129748</c:v>
                </c:pt>
                <c:pt idx="61">
                  <c:v>336548.95273988764</c:v>
                </c:pt>
                <c:pt idx="62">
                  <c:v>317310.81252754765</c:v>
                </c:pt>
                <c:pt idx="63">
                  <c:v>298616.67717141053</c:v>
                </c:pt>
                <c:pt idx="64">
                  <c:v>279188.06775923516</c:v>
                </c:pt>
                <c:pt idx="65">
                  <c:v>260956.85306635255</c:v>
                </c:pt>
                <c:pt idx="66">
                  <c:v>243152.07362408048</c:v>
                </c:pt>
                <c:pt idx="67">
                  <c:v>225923.09631256905</c:v>
                </c:pt>
                <c:pt idx="68">
                  <c:v>210858.78585013447</c:v>
                </c:pt>
                <c:pt idx="69">
                  <c:v>196804.06919636202</c:v>
                </c:pt>
                <c:pt idx="70">
                  <c:v>182852.9781922143</c:v>
                </c:pt>
                <c:pt idx="71">
                  <c:v>170710.79195095136</c:v>
                </c:pt>
                <c:pt idx="72">
                  <c:v>161688.37876770628</c:v>
                </c:pt>
                <c:pt idx="73">
                  <c:v>151827.45503663426</c:v>
                </c:pt>
                <c:pt idx="74">
                  <c:v>143970.91879695843</c:v>
                </c:pt>
                <c:pt idx="75">
                  <c:v>137843.65914955037</c:v>
                </c:pt>
                <c:pt idx="76">
                  <c:v>131982.85315483683</c:v>
                </c:pt>
                <c:pt idx="77">
                  <c:v>125846.68609291449</c:v>
                </c:pt>
                <c:pt idx="78">
                  <c:v>121882.52296928971</c:v>
                </c:pt>
                <c:pt idx="79">
                  <c:v>118015.08108452753</c:v>
                </c:pt>
                <c:pt idx="80">
                  <c:v>114670.27832871347</c:v>
                </c:pt>
                <c:pt idx="81">
                  <c:v>111947.25271125651</c:v>
                </c:pt>
                <c:pt idx="82">
                  <c:v>109395.10777806425</c:v>
                </c:pt>
                <c:pt idx="83">
                  <c:v>107546.14817259659</c:v>
                </c:pt>
                <c:pt idx="84">
                  <c:v>105790.06491067733</c:v>
                </c:pt>
                <c:pt idx="85">
                  <c:v>104480.05355401873</c:v>
                </c:pt>
                <c:pt idx="86">
                  <c:v>103275.52934999813</c:v>
                </c:pt>
                <c:pt idx="87">
                  <c:v>101972.72683695302</c:v>
                </c:pt>
                <c:pt idx="88">
                  <c:v>101152.51682014222</c:v>
                </c:pt>
                <c:pt idx="89">
                  <c:v>100108.5034373111</c:v>
                </c:pt>
                <c:pt idx="90">
                  <c:v>99847.571583129611</c:v>
                </c:pt>
                <c:pt idx="91">
                  <c:v>99109.360325360525</c:v>
                </c:pt>
                <c:pt idx="92">
                  <c:v>98950.314389337989</c:v>
                </c:pt>
                <c:pt idx="93">
                  <c:v>97960.369950170119</c:v>
                </c:pt>
                <c:pt idx="94">
                  <c:v>97708.451881894434</c:v>
                </c:pt>
                <c:pt idx="95">
                  <c:v>97684.569009732062</c:v>
                </c:pt>
                <c:pt idx="96">
                  <c:v>97791.010476423704</c:v>
                </c:pt>
                <c:pt idx="97">
                  <c:v>97056.532355921518</c:v>
                </c:pt>
                <c:pt idx="98">
                  <c:v>96773.815875555854</c:v>
                </c:pt>
                <c:pt idx="99">
                  <c:v>96191.956608050386</c:v>
                </c:pt>
                <c:pt idx="100">
                  <c:v>96205.592568586449</c:v>
                </c:pt>
                <c:pt idx="101">
                  <c:v>95645.407924038751</c:v>
                </c:pt>
                <c:pt idx="102">
                  <c:v>95352.374465874746</c:v>
                </c:pt>
                <c:pt idx="103">
                  <c:v>95369.678523348994</c:v>
                </c:pt>
                <c:pt idx="104">
                  <c:v>95133.884239999476</c:v>
                </c:pt>
                <c:pt idx="105">
                  <c:v>94778.768384450756</c:v>
                </c:pt>
                <c:pt idx="106">
                  <c:v>94635.371888453548</c:v>
                </c:pt>
                <c:pt idx="107">
                  <c:v>94543.009147086195</c:v>
                </c:pt>
                <c:pt idx="108">
                  <c:v>94246.284386887302</c:v>
                </c:pt>
                <c:pt idx="109">
                  <c:v>93473.58464147542</c:v>
                </c:pt>
                <c:pt idx="110">
                  <c:v>93346.218174587862</c:v>
                </c:pt>
                <c:pt idx="111">
                  <c:v>93034.376889081861</c:v>
                </c:pt>
                <c:pt idx="112">
                  <c:v>92448.008819119583</c:v>
                </c:pt>
                <c:pt idx="113">
                  <c:v>91671.429936739907</c:v>
                </c:pt>
                <c:pt idx="114">
                  <c:v>91385.493548979779</c:v>
                </c:pt>
                <c:pt idx="115">
                  <c:v>90641.653900727804</c:v>
                </c:pt>
                <c:pt idx="116">
                  <c:v>89895.933849177556</c:v>
                </c:pt>
                <c:pt idx="117">
                  <c:v>88716.034906423331</c:v>
                </c:pt>
                <c:pt idx="118">
                  <c:v>86870.27760857674</c:v>
                </c:pt>
                <c:pt idx="119">
                  <c:v>86060.325440140135</c:v>
                </c:pt>
                <c:pt idx="120">
                  <c:v>83702.880576609808</c:v>
                </c:pt>
                <c:pt idx="121">
                  <c:v>81227.47883728164</c:v>
                </c:pt>
                <c:pt idx="122">
                  <c:v>78093.348453591869</c:v>
                </c:pt>
                <c:pt idx="123">
                  <c:v>73790.584390144446</c:v>
                </c:pt>
                <c:pt idx="124">
                  <c:v>68548.051639718804</c:v>
                </c:pt>
                <c:pt idx="125">
                  <c:v>61484.522210067422</c:v>
                </c:pt>
                <c:pt idx="126">
                  <c:v>50502.848308656539</c:v>
                </c:pt>
                <c:pt idx="127">
                  <c:v>37358.51388765913</c:v>
                </c:pt>
                <c:pt idx="128">
                  <c:v>19033.563588224082</c:v>
                </c:pt>
                <c:pt idx="129">
                  <c:v>-7075.3497387773623</c:v>
                </c:pt>
                <c:pt idx="130">
                  <c:v>-38452.7339145023</c:v>
                </c:pt>
                <c:pt idx="131">
                  <c:v>-79304.579047114443</c:v>
                </c:pt>
                <c:pt idx="132">
                  <c:v>-121551.22783389858</c:v>
                </c:pt>
                <c:pt idx="133">
                  <c:v>-164003.94471037452</c:v>
                </c:pt>
                <c:pt idx="134">
                  <c:v>-204134.4566963792</c:v>
                </c:pt>
                <c:pt idx="135">
                  <c:v>-239206.41442279555</c:v>
                </c:pt>
                <c:pt idx="136">
                  <c:v>-269786.23929650267</c:v>
                </c:pt>
                <c:pt idx="137">
                  <c:v>-297513.98224007682</c:v>
                </c:pt>
                <c:pt idx="138">
                  <c:v>-321945.65547476348</c:v>
                </c:pt>
                <c:pt idx="139">
                  <c:v>-345005.32985288737</c:v>
                </c:pt>
                <c:pt idx="140">
                  <c:v>-365695.42178479407</c:v>
                </c:pt>
                <c:pt idx="141">
                  <c:v>-384571.09121361683</c:v>
                </c:pt>
                <c:pt idx="142">
                  <c:v>-401093.30704966455</c:v>
                </c:pt>
                <c:pt idx="143">
                  <c:v>-415392.29779483873</c:v>
                </c:pt>
                <c:pt idx="144">
                  <c:v>-427111.71944131999</c:v>
                </c:pt>
                <c:pt idx="145">
                  <c:v>-435840.59615419927</c:v>
                </c:pt>
                <c:pt idx="146">
                  <c:v>-441519.82858101546</c:v>
                </c:pt>
                <c:pt idx="147">
                  <c:v>-441633.67714662541</c:v>
                </c:pt>
                <c:pt idx="148">
                  <c:v>-435800.4631424268</c:v>
                </c:pt>
                <c:pt idx="149">
                  <c:v>-423964.83810325462</c:v>
                </c:pt>
                <c:pt idx="150">
                  <c:v>-436537.76378007571</c:v>
                </c:pt>
                <c:pt idx="151">
                  <c:v>-442072.65691602638</c:v>
                </c:pt>
                <c:pt idx="152">
                  <c:v>-441789.47084114124</c:v>
                </c:pt>
                <c:pt idx="153">
                  <c:v>-437488.63892203028</c:v>
                </c:pt>
                <c:pt idx="154">
                  <c:v>-428931.63311015337</c:v>
                </c:pt>
                <c:pt idx="155">
                  <c:v>-417811.68208842824</c:v>
                </c:pt>
                <c:pt idx="156">
                  <c:v>-404681.03749187459</c:v>
                </c:pt>
                <c:pt idx="157">
                  <c:v>-389608.45253308775</c:v>
                </c:pt>
                <c:pt idx="158">
                  <c:v>-372611.85941806744</c:v>
                </c:pt>
                <c:pt idx="159">
                  <c:v>-354626.78628111619</c:v>
                </c:pt>
                <c:pt idx="160">
                  <c:v>-335523.74798279419</c:v>
                </c:pt>
                <c:pt idx="161">
                  <c:v>-316003.60906830453</c:v>
                </c:pt>
                <c:pt idx="162">
                  <c:v>-295886.50031321152</c:v>
                </c:pt>
                <c:pt idx="163">
                  <c:v>-276030.11167738738</c:v>
                </c:pt>
                <c:pt idx="164">
                  <c:v>-256259.67905163128</c:v>
                </c:pt>
                <c:pt idx="165">
                  <c:v>-237480.30768639347</c:v>
                </c:pt>
                <c:pt idx="166">
                  <c:v>-220335.06235796004</c:v>
                </c:pt>
                <c:pt idx="167">
                  <c:v>-203027.32645495905</c:v>
                </c:pt>
                <c:pt idx="168">
                  <c:v>-187827.97114064562</c:v>
                </c:pt>
                <c:pt idx="169">
                  <c:v>-174341.4743975063</c:v>
                </c:pt>
                <c:pt idx="170">
                  <c:v>-161402.93974107251</c:v>
                </c:pt>
                <c:pt idx="171">
                  <c:v>-149919.59122846471</c:v>
                </c:pt>
                <c:pt idx="172">
                  <c:v>-140097.24354466007</c:v>
                </c:pt>
                <c:pt idx="173">
                  <c:v>-131969.07576286083</c:v>
                </c:pt>
                <c:pt idx="174">
                  <c:v>-125339.86404293292</c:v>
                </c:pt>
                <c:pt idx="175">
                  <c:v>-118557.05462996889</c:v>
                </c:pt>
                <c:pt idx="176">
                  <c:v>-113317.02358359026</c:v>
                </c:pt>
                <c:pt idx="177">
                  <c:v>-108268.09499609425</c:v>
                </c:pt>
                <c:pt idx="178">
                  <c:v>-104511.75789630431</c:v>
                </c:pt>
                <c:pt idx="179">
                  <c:v>-101048.39371683043</c:v>
                </c:pt>
                <c:pt idx="180">
                  <c:v>-98144.973676197667</c:v>
                </c:pt>
                <c:pt idx="181">
                  <c:v>-96295.698490225521</c:v>
                </c:pt>
                <c:pt idx="182">
                  <c:v>-93976.636293209318</c:v>
                </c:pt>
                <c:pt idx="183">
                  <c:v>-92084.762193078495</c:v>
                </c:pt>
                <c:pt idx="184">
                  <c:v>-90236.578984729611</c:v>
                </c:pt>
                <c:pt idx="185">
                  <c:v>-89339.809887439478</c:v>
                </c:pt>
                <c:pt idx="186">
                  <c:v>-88231.495562588738</c:v>
                </c:pt>
                <c:pt idx="187">
                  <c:v>-87166.885553271233</c:v>
                </c:pt>
                <c:pt idx="188">
                  <c:v>-86052.152262088755</c:v>
                </c:pt>
                <c:pt idx="189">
                  <c:v>-85431.729572705939</c:v>
                </c:pt>
                <c:pt idx="190">
                  <c:v>-84782.517243734488</c:v>
                </c:pt>
                <c:pt idx="191">
                  <c:v>-83859.167396421617</c:v>
                </c:pt>
                <c:pt idx="192">
                  <c:v>-83567.251664820127</c:v>
                </c:pt>
                <c:pt idx="193">
                  <c:v>-83110.172502626941</c:v>
                </c:pt>
                <c:pt idx="194">
                  <c:v>-82648.050003634242</c:v>
                </c:pt>
                <c:pt idx="195">
                  <c:v>-82234.592635585199</c:v>
                </c:pt>
                <c:pt idx="196">
                  <c:v>-82073.843169161351</c:v>
                </c:pt>
                <c:pt idx="197">
                  <c:v>-81622.699766935475</c:v>
                </c:pt>
                <c:pt idx="198">
                  <c:v>-81626.591138595424</c:v>
                </c:pt>
                <c:pt idx="199">
                  <c:v>-81510.112569936464</c:v>
                </c:pt>
                <c:pt idx="200">
                  <c:v>-80595.246679337492</c:v>
                </c:pt>
                <c:pt idx="201">
                  <c:v>-80649.148261922921</c:v>
                </c:pt>
                <c:pt idx="202">
                  <c:v>-80110.991097335573</c:v>
                </c:pt>
                <c:pt idx="203">
                  <c:v>-79899.475560510269</c:v>
                </c:pt>
                <c:pt idx="204">
                  <c:v>-79842.506067396724</c:v>
                </c:pt>
                <c:pt idx="205">
                  <c:v>-79575.309842210001</c:v>
                </c:pt>
                <c:pt idx="206">
                  <c:v>-78845.931528799454</c:v>
                </c:pt>
                <c:pt idx="207">
                  <c:v>-78881.059193069901</c:v>
                </c:pt>
                <c:pt idx="208">
                  <c:v>-78427.152902725837</c:v>
                </c:pt>
                <c:pt idx="209">
                  <c:v>-78272.347808984588</c:v>
                </c:pt>
                <c:pt idx="210">
                  <c:v>-77751.542648614341</c:v>
                </c:pt>
                <c:pt idx="211">
                  <c:v>-77159.986305156854</c:v>
                </c:pt>
                <c:pt idx="212">
                  <c:v>-76940.051786477634</c:v>
                </c:pt>
                <c:pt idx="213">
                  <c:v>-76374.87187823806</c:v>
                </c:pt>
                <c:pt idx="214">
                  <c:v>-75042.896787230653</c:v>
                </c:pt>
                <c:pt idx="215">
                  <c:v>-73974.722849390688</c:v>
                </c:pt>
                <c:pt idx="216">
                  <c:v>-73029.032971643974</c:v>
                </c:pt>
                <c:pt idx="217">
                  <c:v>-71948.157352424256</c:v>
                </c:pt>
                <c:pt idx="218">
                  <c:v>-70494.42775782496</c:v>
                </c:pt>
                <c:pt idx="219">
                  <c:v>-68015.519999300406</c:v>
                </c:pt>
                <c:pt idx="220">
                  <c:v>-65420.255090331775</c:v>
                </c:pt>
                <c:pt idx="221">
                  <c:v>-61713.023146209729</c:v>
                </c:pt>
                <c:pt idx="222">
                  <c:v>-56437.06118503082</c:v>
                </c:pt>
                <c:pt idx="223">
                  <c:v>-50085.260955908096</c:v>
                </c:pt>
                <c:pt idx="224">
                  <c:v>-41167.563587339384</c:v>
                </c:pt>
                <c:pt idx="225">
                  <c:v>-29594.229507337292</c:v>
                </c:pt>
                <c:pt idx="226">
                  <c:v>-14972.684025942372</c:v>
                </c:pt>
                <c:pt idx="227">
                  <c:v>6411.5872805295667</c:v>
                </c:pt>
                <c:pt idx="228">
                  <c:v>32216.352445420354</c:v>
                </c:pt>
                <c:pt idx="229">
                  <c:v>65815.321467097005</c:v>
                </c:pt>
                <c:pt idx="230">
                  <c:v>103862.65929655428</c:v>
                </c:pt>
                <c:pt idx="231">
                  <c:v>144602.51865587974</c:v>
                </c:pt>
                <c:pt idx="232">
                  <c:v>181542.52760676853</c:v>
                </c:pt>
                <c:pt idx="233">
                  <c:v>216520.73063310378</c:v>
                </c:pt>
                <c:pt idx="234">
                  <c:v>247597.83728892953</c:v>
                </c:pt>
                <c:pt idx="235">
                  <c:v>275760.10242213221</c:v>
                </c:pt>
                <c:pt idx="236">
                  <c:v>301471.09891939227</c:v>
                </c:pt>
                <c:pt idx="237">
                  <c:v>325319.28973295324</c:v>
                </c:pt>
                <c:pt idx="238">
                  <c:v>347087.2236482458</c:v>
                </c:pt>
                <c:pt idx="239">
                  <c:v>367304.08110933093</c:v>
                </c:pt>
                <c:pt idx="240">
                  <c:v>385553.83318078879</c:v>
                </c:pt>
                <c:pt idx="241">
                  <c:v>401577.34134957421</c:v>
                </c:pt>
                <c:pt idx="242">
                  <c:v>415652.13114996732</c:v>
                </c:pt>
                <c:pt idx="243">
                  <c:v>426829.74763597758</c:v>
                </c:pt>
                <c:pt idx="244">
                  <c:v>435544.513237198</c:v>
                </c:pt>
                <c:pt idx="245">
                  <c:v>440710.36453816912</c:v>
                </c:pt>
                <c:pt idx="246">
                  <c:v>441348.14215056557</c:v>
                </c:pt>
                <c:pt idx="247">
                  <c:v>436223.09333574487</c:v>
                </c:pt>
                <c:pt idx="248">
                  <c:v>423019.74402339745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B99-4317-9351-C1C2B1B8E9D4}"/>
            </c:ext>
          </c:extLst>
        </c:ser>
        <c:ser>
          <c:idx val="2"/>
          <c:order val="2"/>
          <c:tx>
            <c:v>Fe2O3 Sample #2</c:v>
          </c:tx>
          <c:spPr>
            <a:ln w="19050" cap="rnd">
              <a:solidFill>
                <a:srgbClr val="CCCC00"/>
              </a:solidFill>
              <a:round/>
            </a:ln>
            <a:effectLst/>
          </c:spPr>
          <c:marker>
            <c:symbol val="none"/>
          </c:marker>
          <c:xVal>
            <c:numRef>
              <c:f>'#2'!$G$9:$G$257</c:f>
              <c:numCache>
                <c:formatCode>General</c:formatCode>
                <c:ptCount val="249"/>
                <c:pt idx="0">
                  <c:v>-5.7802634001283151</c:v>
                </c:pt>
                <c:pt idx="1">
                  <c:v>61.41529417962559</c:v>
                </c:pt>
                <c:pt idx="2">
                  <c:v>55.635030779497299</c:v>
                </c:pt>
                <c:pt idx="3">
                  <c:v>99.709539501924553</c:v>
                </c:pt>
                <c:pt idx="4">
                  <c:v>129.33338379504818</c:v>
                </c:pt>
                <c:pt idx="5">
                  <c:v>163.29243453174266</c:v>
                </c:pt>
                <c:pt idx="6">
                  <c:v>197.97401018932604</c:v>
                </c:pt>
                <c:pt idx="7">
                  <c:v>301.29621698437381</c:v>
                </c:pt>
                <c:pt idx="8">
                  <c:v>304.18634512704773</c:v>
                </c:pt>
                <c:pt idx="9">
                  <c:v>473.98158458096145</c:v>
                </c:pt>
                <c:pt idx="10">
                  <c:v>568.63339746161273</c:v>
                </c:pt>
                <c:pt idx="11">
                  <c:v>694.35410922035112</c:v>
                </c:pt>
                <c:pt idx="12">
                  <c:v>841.02824764187937</c:v>
                </c:pt>
                <c:pt idx="13">
                  <c:v>1046.2276208765747</c:v>
                </c:pt>
                <c:pt idx="14">
                  <c:v>1329.460501395331</c:v>
                </c:pt>
                <c:pt idx="15">
                  <c:v>1630.7567658115768</c:v>
                </c:pt>
                <c:pt idx="16">
                  <c:v>2002.861146007398</c:v>
                </c:pt>
                <c:pt idx="17">
                  <c:v>2473.2300917543575</c:v>
                </c:pt>
                <c:pt idx="18">
                  <c:v>3038.2507365454858</c:v>
                </c:pt>
                <c:pt idx="19">
                  <c:v>3752.1134218007032</c:v>
                </c:pt>
                <c:pt idx="20">
                  <c:v>4615.5400985152837</c:v>
                </c:pt>
                <c:pt idx="21">
                  <c:v>5689.9467652321173</c:v>
                </c:pt>
                <c:pt idx="22">
                  <c:v>7009.291908248646</c:v>
                </c:pt>
                <c:pt idx="23">
                  <c:v>8637.1579103304939</c:v>
                </c:pt>
                <c:pt idx="24">
                  <c:v>10630.626635537234</c:v>
                </c:pt>
                <c:pt idx="25">
                  <c:v>13083.626238206911</c:v>
                </c:pt>
                <c:pt idx="26">
                  <c:v>16107.426874762366</c:v>
                </c:pt>
                <c:pt idx="27">
                  <c:v>19831.36075743135</c:v>
                </c:pt>
                <c:pt idx="28">
                  <c:v>24414.384298474029</c:v>
                </c:pt>
                <c:pt idx="29">
                  <c:v>30067.483559171716</c:v>
                </c:pt>
                <c:pt idx="30">
                  <c:v>37031.977926256091</c:v>
                </c:pt>
                <c:pt idx="31">
                  <c:v>45622.895152341596</c:v>
                </c:pt>
                <c:pt idx="32">
                  <c:v>56164.651616294133</c:v>
                </c:pt>
                <c:pt idx="33">
                  <c:v>69209.982653426589</c:v>
                </c:pt>
                <c:pt idx="34">
                  <c:v>85233.591875206679</c:v>
                </c:pt>
                <c:pt idx="35">
                  <c:v>104951.51867228579</c:v>
                </c:pt>
                <c:pt idx="36">
                  <c:v>129296.5373909328</c:v>
                </c:pt>
                <c:pt idx="37">
                  <c:v>159217.34612866427</c:v>
                </c:pt>
                <c:pt idx="38">
                  <c:v>196103.38871529442</c:v>
                </c:pt>
                <c:pt idx="39">
                  <c:v>241519.62723559642</c:v>
                </c:pt>
                <c:pt idx="40">
                  <c:v>297431.39792805974</c:v>
                </c:pt>
                <c:pt idx="41">
                  <c:v>366314.08277348295</c:v>
                </c:pt>
                <c:pt idx="42">
                  <c:v>451177.02547824121</c:v>
                </c:pt>
                <c:pt idx="43">
                  <c:v>555584.45553113939</c:v>
                </c:pt>
                <c:pt idx="44">
                  <c:v>684258.1573821418</c:v>
                </c:pt>
                <c:pt idx="45">
                  <c:v>842716.79759801005</c:v>
                </c:pt>
                <c:pt idx="46">
                  <c:v>1037773.2646313675</c:v>
                </c:pt>
                <c:pt idx="47">
                  <c:v>1278079.0051482997</c:v>
                </c:pt>
                <c:pt idx="48">
                  <c:v>1574004.6189648104</c:v>
                </c:pt>
                <c:pt idx="49">
                  <c:v>1938466.8741368903</c:v>
                </c:pt>
                <c:pt idx="50">
                  <c:v>2387284.7462045299</c:v>
                </c:pt>
                <c:pt idx="51">
                  <c:v>1938489.3330131373</c:v>
                </c:pt>
                <c:pt idx="52">
                  <c:v>1574026.2230049372</c:v>
                </c:pt>
                <c:pt idx="53">
                  <c:v>1278071.1561984697</c:v>
                </c:pt>
                <c:pt idx="54">
                  <c:v>1037789.1956681516</c:v>
                </c:pt>
                <c:pt idx="55">
                  <c:v>842675.68775186967</c:v>
                </c:pt>
                <c:pt idx="56">
                  <c:v>684241.52693398669</c:v>
                </c:pt>
                <c:pt idx="57">
                  <c:v>555608.27437394101</c:v>
                </c:pt>
                <c:pt idx="58">
                  <c:v>451131.48602675105</c:v>
                </c:pt>
                <c:pt idx="59">
                  <c:v>366332.13147247332</c:v>
                </c:pt>
                <c:pt idx="60">
                  <c:v>297417.66226585652</c:v>
                </c:pt>
                <c:pt idx="61">
                  <c:v>241523.2408610133</c:v>
                </c:pt>
                <c:pt idx="62">
                  <c:v>196103.37900124703</c:v>
                </c:pt>
                <c:pt idx="63">
                  <c:v>159217.34612866427</c:v>
                </c:pt>
                <c:pt idx="64">
                  <c:v>129274.14165599018</c:v>
                </c:pt>
                <c:pt idx="65">
                  <c:v>104966.69687044126</c:v>
                </c:pt>
                <c:pt idx="66">
                  <c:v>85230.706803300665</c:v>
                </c:pt>
                <c:pt idx="67">
                  <c:v>69207.090295986054</c:v>
                </c:pt>
                <c:pt idx="68">
                  <c:v>56177.656296473811</c:v>
                </c:pt>
                <c:pt idx="69">
                  <c:v>45612.059133114344</c:v>
                </c:pt>
                <c:pt idx="70">
                  <c:v>37020.419424796644</c:v>
                </c:pt>
                <c:pt idx="71">
                  <c:v>30071.819666820789</c:v>
                </c:pt>
                <c:pt idx="72">
                  <c:v>24400.658350317932</c:v>
                </c:pt>
                <c:pt idx="73">
                  <c:v>19803.182128991539</c:v>
                </c:pt>
                <c:pt idx="74">
                  <c:v>16090.084872677691</c:v>
                </c:pt>
                <c:pt idx="75">
                  <c:v>13037.382518322353</c:v>
                </c:pt>
                <c:pt idx="76">
                  <c:v>10580.049236515295</c:v>
                </c:pt>
                <c:pt idx="77">
                  <c:v>8588.7482615691497</c:v>
                </c:pt>
                <c:pt idx="78">
                  <c:v>6958.7142056627172</c:v>
                </c:pt>
                <c:pt idx="79">
                  <c:v>5634.3113834567839</c:v>
                </c:pt>
                <c:pt idx="80">
                  <c:v>4564.9626994933215</c:v>
                </c:pt>
                <c:pt idx="81">
                  <c:v>3719.5992928397345</c:v>
                </c:pt>
                <c:pt idx="82">
                  <c:v>3009.3494740914875</c:v>
                </c:pt>
                <c:pt idx="83">
                  <c:v>2428.4330059359872</c:v>
                </c:pt>
                <c:pt idx="84">
                  <c:v>1976.1274820320073</c:v>
                </c:pt>
                <c:pt idx="85">
                  <c:v>1599.6879048789876</c:v>
                </c:pt>
                <c:pt idx="86">
                  <c:v>1315.0098701683403</c:v>
                </c:pt>
                <c:pt idx="87">
                  <c:v>1015.8812801216833</c:v>
                </c:pt>
                <c:pt idx="88">
                  <c:v>824.41005588177984</c:v>
                </c:pt>
                <c:pt idx="89">
                  <c:v>677.01332139155988</c:v>
                </c:pt>
                <c:pt idx="90">
                  <c:v>546.95739370287583</c:v>
                </c:pt>
                <c:pt idx="91">
                  <c:v>489.87729410885487</c:v>
                </c:pt>
                <c:pt idx="92">
                  <c:v>339.59047890782739</c:v>
                </c:pt>
                <c:pt idx="93">
                  <c:v>346.81579452132519</c:v>
                </c:pt>
                <c:pt idx="94">
                  <c:v>299.12862799214838</c:v>
                </c:pt>
                <c:pt idx="95">
                  <c:v>251.44144249022457</c:v>
                </c:pt>
                <c:pt idx="96">
                  <c:v>201.58666799607457</c:v>
                </c:pt>
                <c:pt idx="97">
                  <c:v>182.07828168868474</c:v>
                </c:pt>
                <c:pt idx="98">
                  <c:v>141.61644025937966</c:v>
                </c:pt>
                <c:pt idx="99">
                  <c:v>148.84177484562528</c:v>
                </c:pt>
                <c:pt idx="100">
                  <c:v>-117.05032733071666</c:v>
                </c:pt>
                <c:pt idx="101">
                  <c:v>-118.49539614524056</c:v>
                </c:pt>
                <c:pt idx="102">
                  <c:v>-114.16019444485538</c:v>
                </c:pt>
                <c:pt idx="103">
                  <c:v>-111.99259596625689</c:v>
                </c:pt>
                <c:pt idx="104">
                  <c:v>-190.026145939005</c:v>
                </c:pt>
                <c:pt idx="105">
                  <c:v>-221.09506378983903</c:v>
                </c:pt>
                <c:pt idx="106">
                  <c:v>-264.44704284819193</c:v>
                </c:pt>
                <c:pt idx="107">
                  <c:v>-422.68176024503521</c:v>
                </c:pt>
                <c:pt idx="108">
                  <c:v>-416.17894583649115</c:v>
                </c:pt>
                <c:pt idx="109">
                  <c:v>-597.53467888835269</c:v>
                </c:pt>
                <c:pt idx="110">
                  <c:v>-750.71166966392366</c:v>
                </c:pt>
                <c:pt idx="111">
                  <c:v>-902.44360111134699</c:v>
                </c:pt>
                <c:pt idx="112">
                  <c:v>-1101.140140964746</c:v>
                </c:pt>
                <c:pt idx="113">
                  <c:v>-1346.0787311009292</c:v>
                </c:pt>
                <c:pt idx="114">
                  <c:v>-1665.4383414691576</c:v>
                </c:pt>
                <c:pt idx="115">
                  <c:v>-2046.2131914703655</c:v>
                </c:pt>
                <c:pt idx="116">
                  <c:v>-2495.6285587725492</c:v>
                </c:pt>
                <c:pt idx="117">
                  <c:v>-3078.7127771886367</c:v>
                </c:pt>
                <c:pt idx="118">
                  <c:v>-3790.4077121832761</c:v>
                </c:pt>
                <c:pt idx="119">
                  <c:v>-4658.8920680872616</c:v>
                </c:pt>
                <c:pt idx="120">
                  <c:v>-5718.1253936719204</c:v>
                </c:pt>
                <c:pt idx="121">
                  <c:v>-7037.4705366884491</c:v>
                </c:pt>
                <c:pt idx="122">
                  <c:v>-8671.1170037558768</c:v>
                </c:pt>
                <c:pt idx="123">
                  <c:v>-10656.637817280392</c:v>
                </c:pt>
                <c:pt idx="124">
                  <c:v>-13112.526741751033</c:v>
                </c:pt>
                <c:pt idx="125">
                  <c:v>-16152.945076775157</c:v>
                </c:pt>
                <c:pt idx="126">
                  <c:v>-19884.828085382134</c:v>
                </c:pt>
                <c:pt idx="127">
                  <c:v>-24477.967591931483</c:v>
                </c:pt>
                <c:pt idx="128">
                  <c:v>-30123.839601795491</c:v>
                </c:pt>
                <c:pt idx="129">
                  <c:v>-37111.458257333841</c:v>
                </c:pt>
                <c:pt idx="130">
                  <c:v>-45659.745388951669</c:v>
                </c:pt>
                <c:pt idx="131">
                  <c:v>-56223.895159334978</c:v>
                </c:pt>
                <c:pt idx="132">
                  <c:v>-69248.275425989355</c:v>
                </c:pt>
                <c:pt idx="133">
                  <c:v>-85297.175168663511</c:v>
                </c:pt>
                <c:pt idx="134">
                  <c:v>-105028.82305687634</c:v>
                </c:pt>
                <c:pt idx="135">
                  <c:v>-129332.6590740313</c:v>
                </c:pt>
                <c:pt idx="136">
                  <c:v>-159268.64600991824</c:v>
                </c:pt>
                <c:pt idx="137">
                  <c:v>-196127.93611160689</c:v>
                </c:pt>
                <c:pt idx="138">
                  <c:v>-241583.21538607695</c:v>
                </c:pt>
                <c:pt idx="139">
                  <c:v>-297497.15231098124</c:v>
                </c:pt>
                <c:pt idx="140">
                  <c:v>-366321.29059622268</c:v>
                </c:pt>
                <c:pt idx="141">
                  <c:v>-451133.66197323863</c:v>
                </c:pt>
                <c:pt idx="142">
                  <c:v>-555593.12046090246</c:v>
                </c:pt>
                <c:pt idx="143">
                  <c:v>-684290.68001089373</c:v>
                </c:pt>
                <c:pt idx="144">
                  <c:v>-842659.75671508547</c:v>
                </c:pt>
                <c:pt idx="145">
                  <c:v>-1037767.4750594669</c:v>
                </c:pt>
                <c:pt idx="146">
                  <c:v>-1278062.4524125191</c:v>
                </c:pt>
                <c:pt idx="147">
                  <c:v>-1574084.1964363563</c:v>
                </c:pt>
                <c:pt idx="148">
                  <c:v>-1938444.5706853927</c:v>
                </c:pt>
                <c:pt idx="149">
                  <c:v>-2387283.3473817878</c:v>
                </c:pt>
                <c:pt idx="150">
                  <c:v>-1938482.1834746781</c:v>
                </c:pt>
                <c:pt idx="151">
                  <c:v>-1574010.4473929021</c:v>
                </c:pt>
                <c:pt idx="152">
                  <c:v>-1278100.0652018047</c:v>
                </c:pt>
                <c:pt idx="153">
                  <c:v>-1037791.3327584558</c:v>
                </c:pt>
                <c:pt idx="154">
                  <c:v>-842695.89296925429</c:v>
                </c:pt>
                <c:pt idx="155">
                  <c:v>-684297.90726172749</c:v>
                </c:pt>
                <c:pt idx="156">
                  <c:v>-555616.22046423901</c:v>
                </c:pt>
                <c:pt idx="157">
                  <c:v>-451209.52867889911</c:v>
                </c:pt>
                <c:pt idx="158">
                  <c:v>-366378.3703353345</c:v>
                </c:pt>
                <c:pt idx="159">
                  <c:v>-297515.20100997161</c:v>
                </c:pt>
                <c:pt idx="160">
                  <c:v>-241594.76538774522</c:v>
                </c:pt>
                <c:pt idx="161">
                  <c:v>-196154.66916845436</c:v>
                </c:pt>
                <c:pt idx="162">
                  <c:v>-159285.98558349101</c:v>
                </c:pt>
                <c:pt idx="163">
                  <c:v>-129295.81855146856</c:v>
                </c:pt>
                <c:pt idx="164">
                  <c:v>-105062.78336455757</c:v>
                </c:pt>
                <c:pt idx="165">
                  <c:v>-85280.559291578727</c:v>
                </c:pt>
                <c:pt idx="166">
                  <c:v>-69284.401966111385</c:v>
                </c:pt>
                <c:pt idx="167">
                  <c:v>-56251.351912670485</c:v>
                </c:pt>
                <c:pt idx="168">
                  <c:v>-45685.031052822982</c:v>
                </c:pt>
                <c:pt idx="169">
                  <c:v>-37094.837523225506</c:v>
                </c:pt>
                <c:pt idx="170">
                  <c:v>-30138.292889207169</c:v>
                </c:pt>
                <c:pt idx="171">
                  <c:v>-24464.964126007661</c:v>
                </c:pt>
                <c:pt idx="172">
                  <c:v>-19854.482010245749</c:v>
                </c:pt>
                <c:pt idx="173">
                  <c:v>-16139.939789467518</c:v>
                </c:pt>
                <c:pt idx="174">
                  <c:v>-13120.474046305291</c:v>
                </c:pt>
                <c:pt idx="175">
                  <c:v>-10644.354405077063</c:v>
                </c:pt>
                <c:pt idx="176">
                  <c:v>-8671.1176108837608</c:v>
                </c:pt>
                <c:pt idx="177">
                  <c:v>-7059.1465214744339</c:v>
                </c:pt>
                <c:pt idx="178">
                  <c:v>-5704.3973205681186</c:v>
                </c:pt>
                <c:pt idx="179">
                  <c:v>-4661.7821487980682</c:v>
                </c:pt>
                <c:pt idx="180">
                  <c:v>-3801.2455527942934</c:v>
                </c:pt>
                <c:pt idx="181">
                  <c:v>-3099.6661279604436</c:v>
                </c:pt>
                <c:pt idx="182">
                  <c:v>-2517.3045435585427</c:v>
                </c:pt>
                <c:pt idx="183">
                  <c:v>-2047.6582318257686</c:v>
                </c:pt>
                <c:pt idx="184">
                  <c:v>-1675.5538516299475</c:v>
                </c:pt>
                <c:pt idx="185">
                  <c:v>-1356.1942412617191</c:v>
                </c:pt>
                <c:pt idx="186">
                  <c:v>-1114.8682520140394</c:v>
                </c:pt>
                <c:pt idx="187">
                  <c:v>-912.55907332663787</c:v>
                </c:pt>
                <c:pt idx="188">
                  <c:v>-741.31875557182639</c:v>
                </c:pt>
                <c:pt idx="189">
                  <c:v>-615.59804381308879</c:v>
                </c:pt>
                <c:pt idx="190">
                  <c:v>-518.05607433064108</c:v>
                </c:pt>
                <c:pt idx="191">
                  <c:v>-423.40429939548454</c:v>
                </c:pt>
                <c:pt idx="192">
                  <c:v>-349.70591317762523</c:v>
                </c:pt>
                <c:pt idx="193">
                  <c:v>-275.28503524118605</c:v>
                </c:pt>
                <c:pt idx="194">
                  <c:v>-233.37812499735787</c:v>
                </c:pt>
                <c:pt idx="195">
                  <c:v>-192.19375390397821</c:v>
                </c:pt>
                <c:pt idx="196">
                  <c:v>-195.80642119710058</c:v>
                </c:pt>
                <c:pt idx="197">
                  <c:v>-140.89391533849161</c:v>
                </c:pt>
                <c:pt idx="198">
                  <c:v>-107.65739426587172</c:v>
                </c:pt>
                <c:pt idx="199">
                  <c:v>45.519572793764539</c:v>
                </c:pt>
                <c:pt idx="200">
                  <c:v>67.195559951347391</c:v>
                </c:pt>
                <c:pt idx="201">
                  <c:v>102.59966764459848</c:v>
                </c:pt>
                <c:pt idx="202">
                  <c:v>141.61644025937966</c:v>
                </c:pt>
                <c:pt idx="203">
                  <c:v>183.52335998958253</c:v>
                </c:pt>
                <c:pt idx="204">
                  <c:v>199.41907900384993</c:v>
                </c:pt>
                <c:pt idx="205">
                  <c:v>320.80460329176441</c:v>
                </c:pt>
                <c:pt idx="206">
                  <c:v>330.92006602068392</c:v>
                </c:pt>
                <c:pt idx="207">
                  <c:v>463.14357321521868</c:v>
                </c:pt>
                <c:pt idx="208">
                  <c:v>576.58125222555998</c:v>
                </c:pt>
                <c:pt idx="209">
                  <c:v>719.64280873133293</c:v>
                </c:pt>
                <c:pt idx="210">
                  <c:v>877.87745972355822</c:v>
                </c:pt>
                <c:pt idx="211">
                  <c:v>1061.4008102267701</c:v>
                </c:pt>
                <c:pt idx="212">
                  <c:v>1326.570420684533</c:v>
                </c:pt>
                <c:pt idx="213">
                  <c:v>1630.0342076883805</c:v>
                </c:pt>
                <c:pt idx="214">
                  <c:v>2005.7513026091935</c:v>
                </c:pt>
                <c:pt idx="215">
                  <c:v>2473.952649877554</c:v>
                </c:pt>
                <c:pt idx="216">
                  <c:v>3037.5282543132785</c:v>
                </c:pt>
                <c:pt idx="217">
                  <c:v>3756.4484669759149</c:v>
                </c:pt>
                <c:pt idx="218">
                  <c:v>4612.6501695864645</c:v>
                </c:pt>
                <c:pt idx="219">
                  <c:v>5696.4494088859274</c:v>
                </c:pt>
                <c:pt idx="220">
                  <c:v>7007.124157988058</c:v>
                </c:pt>
                <c:pt idx="221">
                  <c:v>8637.8809996906493</c:v>
                </c:pt>
                <c:pt idx="222">
                  <c:v>10623.401206087281</c:v>
                </c:pt>
                <c:pt idx="223">
                  <c:v>13099.522061571359</c:v>
                </c:pt>
                <c:pt idx="224">
                  <c:v>16118.985983349776</c:v>
                </c:pt>
                <c:pt idx="225">
                  <c:v>19834.250686360196</c:v>
                </c:pt>
                <c:pt idx="226">
                  <c:v>24409.328137104378</c:v>
                </c:pt>
                <c:pt idx="227">
                  <c:v>30083.379382536084</c:v>
                </c:pt>
                <c:pt idx="228">
                  <c:v>37051.486160781482</c:v>
                </c:pt>
                <c:pt idx="229">
                  <c:v>45640.958422402611</c:v>
                </c:pt>
                <c:pt idx="230">
                  <c:v>56226.063820287476</c:v>
                </c:pt>
                <c:pt idx="231">
                  <c:v>69236.713281762364</c:v>
                </c:pt>
                <c:pt idx="232">
                  <c:v>85260.329789077077</c:v>
                </c:pt>
                <c:pt idx="233">
                  <c:v>104975.36180020432</c:v>
                </c:pt>
                <c:pt idx="234">
                  <c:v>129290.03869361071</c:v>
                </c:pt>
                <c:pt idx="235">
                  <c:v>159299.72124569427</c:v>
                </c:pt>
                <c:pt idx="236">
                  <c:v>196122.15625374904</c:v>
                </c:pt>
                <c:pt idx="237">
                  <c:v>241539.87130916759</c:v>
                </c:pt>
                <c:pt idx="238">
                  <c:v>297463.91084276431</c:v>
                </c:pt>
                <c:pt idx="239">
                  <c:v>366371.14308450074</c:v>
                </c:pt>
                <c:pt idx="240">
                  <c:v>451183.49503342342</c:v>
                </c:pt>
                <c:pt idx="241">
                  <c:v>555606.09842745331</c:v>
                </c:pt>
                <c:pt idx="242">
                  <c:v>684314.5377098826</c:v>
                </c:pt>
                <c:pt idx="243">
                  <c:v>842705.99557794665</c:v>
                </c:pt>
                <c:pt idx="244">
                  <c:v>1037792.0321698268</c:v>
                </c:pt>
                <c:pt idx="245">
                  <c:v>1278097.8503991335</c:v>
                </c:pt>
                <c:pt idx="246">
                  <c:v>1573997.5471387259</c:v>
                </c:pt>
                <c:pt idx="247">
                  <c:v>1938443.7158492724</c:v>
                </c:pt>
                <c:pt idx="248">
                  <c:v>2387297.8018834554</c:v>
                </c:pt>
              </c:numCache>
            </c:numRef>
          </c:xVal>
          <c:yVal>
            <c:numRef>
              <c:f>'#2'!$H$9:$H$257</c:f>
              <c:numCache>
                <c:formatCode>General</c:formatCode>
                <c:ptCount val="249"/>
                <c:pt idx="0">
                  <c:v>12497.443775110793</c:v>
                </c:pt>
                <c:pt idx="1">
                  <c:v>12329.770265887895</c:v>
                </c:pt>
                <c:pt idx="2">
                  <c:v>12438.835978550887</c:v>
                </c:pt>
                <c:pt idx="3">
                  <c:v>12620.52550224743</c:v>
                </c:pt>
                <c:pt idx="4">
                  <c:v>12746.968433767823</c:v>
                </c:pt>
                <c:pt idx="5">
                  <c:v>12536.0634461931</c:v>
                </c:pt>
                <c:pt idx="6">
                  <c:v>12957.519732589486</c:v>
                </c:pt>
                <c:pt idx="7">
                  <c:v>12824.360132394762</c:v>
                </c:pt>
                <c:pt idx="8">
                  <c:v>13027.961175468174</c:v>
                </c:pt>
                <c:pt idx="9">
                  <c:v>12905.556442937559</c:v>
                </c:pt>
                <c:pt idx="10">
                  <c:v>13434.798529840948</c:v>
                </c:pt>
                <c:pt idx="11">
                  <c:v>13293.233131308669</c:v>
                </c:pt>
                <c:pt idx="12">
                  <c:v>13603.385178919618</c:v>
                </c:pt>
                <c:pt idx="13">
                  <c:v>13856.738265042371</c:v>
                </c:pt>
                <c:pt idx="14">
                  <c:v>13694.401906078461</c:v>
                </c:pt>
                <c:pt idx="15">
                  <c:v>14582.282160708119</c:v>
                </c:pt>
                <c:pt idx="16">
                  <c:v>14693.077387676021</c:v>
                </c:pt>
                <c:pt idx="17">
                  <c:v>15871.060653095186</c:v>
                </c:pt>
                <c:pt idx="18">
                  <c:v>16432.179549977729</c:v>
                </c:pt>
                <c:pt idx="19">
                  <c:v>17036.547977893206</c:v>
                </c:pt>
                <c:pt idx="20">
                  <c:v>18746.846493080175</c:v>
                </c:pt>
                <c:pt idx="21">
                  <c:v>19896.784466901594</c:v>
                </c:pt>
                <c:pt idx="22">
                  <c:v>21692.005001188136</c:v>
                </c:pt>
                <c:pt idx="23">
                  <c:v>23898.030703952874</c:v>
                </c:pt>
                <c:pt idx="24">
                  <c:v>27398.67807913959</c:v>
                </c:pt>
                <c:pt idx="25">
                  <c:v>31409.333847602327</c:v>
                </c:pt>
                <c:pt idx="26">
                  <c:v>36418.400360130647</c:v>
                </c:pt>
                <c:pt idx="27">
                  <c:v>43683.980042270639</c:v>
                </c:pt>
                <c:pt idx="28">
                  <c:v>51918.618583519252</c:v>
                </c:pt>
                <c:pt idx="29">
                  <c:v>63478.410841716606</c:v>
                </c:pt>
                <c:pt idx="30">
                  <c:v>78663.097445730207</c:v>
                </c:pt>
                <c:pt idx="31">
                  <c:v>97181.479137470393</c:v>
                </c:pt>
                <c:pt idx="32">
                  <c:v>121109.35203712052</c:v>
                </c:pt>
                <c:pt idx="33">
                  <c:v>148373.8665112716</c:v>
                </c:pt>
                <c:pt idx="34">
                  <c:v>178607.72294498456</c:v>
                </c:pt>
                <c:pt idx="35">
                  <c:v>209029.600605624</c:v>
                </c:pt>
                <c:pt idx="36">
                  <c:v>237866.89986699919</c:v>
                </c:pt>
                <c:pt idx="37">
                  <c:v>264366.82697930181</c:v>
                </c:pt>
                <c:pt idx="38">
                  <c:v>289316.56605713023</c:v>
                </c:pt>
                <c:pt idx="39">
                  <c:v>313355.04732643522</c:v>
                </c:pt>
                <c:pt idx="40">
                  <c:v>335577.72060686658</c:v>
                </c:pt>
                <c:pt idx="41">
                  <c:v>357211.66176743532</c:v>
                </c:pt>
                <c:pt idx="42">
                  <c:v>377490.16854920104</c:v>
                </c:pt>
                <c:pt idx="43">
                  <c:v>397041.34297648666</c:v>
                </c:pt>
                <c:pt idx="44">
                  <c:v>415872.16285335238</c:v>
                </c:pt>
                <c:pt idx="45">
                  <c:v>433152.04033257288</c:v>
                </c:pt>
                <c:pt idx="46">
                  <c:v>449144.22681856249</c:v>
                </c:pt>
                <c:pt idx="47">
                  <c:v>463708.76382502588</c:v>
                </c:pt>
                <c:pt idx="48">
                  <c:v>475272.83383527503</c:v>
                </c:pt>
                <c:pt idx="49">
                  <c:v>484138.45277170389</c:v>
                </c:pt>
                <c:pt idx="50">
                  <c:v>488481.83796157129</c:v>
                </c:pt>
                <c:pt idx="51">
                  <c:v>483842.70180342428</c:v>
                </c:pt>
                <c:pt idx="52">
                  <c:v>476323.43353405484</c:v>
                </c:pt>
                <c:pt idx="53">
                  <c:v>464311.31883930165</c:v>
                </c:pt>
                <c:pt idx="54">
                  <c:v>450424.77559895784</c:v>
                </c:pt>
                <c:pt idx="55">
                  <c:v>434825.73521496635</c:v>
                </c:pt>
                <c:pt idx="56">
                  <c:v>417843.2073445429</c:v>
                </c:pt>
                <c:pt idx="57">
                  <c:v>400076.60460433748</c:v>
                </c:pt>
                <c:pt idx="58">
                  <c:v>381419.22260162776</c:v>
                </c:pt>
                <c:pt idx="59">
                  <c:v>362569.94640433375</c:v>
                </c:pt>
                <c:pt idx="60">
                  <c:v>343237.52977142041</c:v>
                </c:pt>
                <c:pt idx="61">
                  <c:v>323910.1296087965</c:v>
                </c:pt>
                <c:pt idx="62">
                  <c:v>304260.95778741705</c:v>
                </c:pt>
                <c:pt idx="63">
                  <c:v>285461.13295163959</c:v>
                </c:pt>
                <c:pt idx="64">
                  <c:v>266441.18113621173</c:v>
                </c:pt>
                <c:pt idx="65">
                  <c:v>248677.06276291923</c:v>
                </c:pt>
                <c:pt idx="66">
                  <c:v>231272.70084151498</c:v>
                </c:pt>
                <c:pt idx="67">
                  <c:v>214936.8998604329</c:v>
                </c:pt>
                <c:pt idx="68">
                  <c:v>199526.82339550502</c:v>
                </c:pt>
                <c:pt idx="69">
                  <c:v>185342.84043891457</c:v>
                </c:pt>
                <c:pt idx="70">
                  <c:v>173086.2219509994</c:v>
                </c:pt>
                <c:pt idx="71">
                  <c:v>162053.1864773657</c:v>
                </c:pt>
                <c:pt idx="72">
                  <c:v>151839.40847797858</c:v>
                </c:pt>
                <c:pt idx="73">
                  <c:v>143519.97007496312</c:v>
                </c:pt>
                <c:pt idx="74">
                  <c:v>135826.87865128598</c:v>
                </c:pt>
                <c:pt idx="75">
                  <c:v>128612.62691019035</c:v>
                </c:pt>
                <c:pt idx="76">
                  <c:v>124103.45230565502</c:v>
                </c:pt>
                <c:pt idx="77">
                  <c:v>119394.63895016565</c:v>
                </c:pt>
                <c:pt idx="78">
                  <c:v>114912.220461266</c:v>
                </c:pt>
                <c:pt idx="79">
                  <c:v>111277.92558200519</c:v>
                </c:pt>
                <c:pt idx="80">
                  <c:v>107610.77961871629</c:v>
                </c:pt>
                <c:pt idx="81">
                  <c:v>104812.57139234936</c:v>
                </c:pt>
                <c:pt idx="82">
                  <c:v>102651.28155106328</c:v>
                </c:pt>
                <c:pt idx="83">
                  <c:v>100174.36108407403</c:v>
                </c:pt>
                <c:pt idx="84">
                  <c:v>98791.729869243572</c:v>
                </c:pt>
                <c:pt idx="85">
                  <c:v>97633.35035547326</c:v>
                </c:pt>
                <c:pt idx="86">
                  <c:v>96249.429098558961</c:v>
                </c:pt>
                <c:pt idx="87">
                  <c:v>95578.589152530985</c:v>
                </c:pt>
                <c:pt idx="88">
                  <c:v>94955.793571287577</c:v>
                </c:pt>
                <c:pt idx="89">
                  <c:v>94056.291723577262</c:v>
                </c:pt>
                <c:pt idx="90">
                  <c:v>93415.524617162329</c:v>
                </c:pt>
                <c:pt idx="91">
                  <c:v>92738.504658738733</c:v>
                </c:pt>
                <c:pt idx="92">
                  <c:v>92113.232283506426</c:v>
                </c:pt>
                <c:pt idx="93">
                  <c:v>92016.044017394335</c:v>
                </c:pt>
                <c:pt idx="94">
                  <c:v>91436.979433218585</c:v>
                </c:pt>
                <c:pt idx="95">
                  <c:v>91309.512563167955</c:v>
                </c:pt>
                <c:pt idx="96">
                  <c:v>90895.584711140691</c:v>
                </c:pt>
                <c:pt idx="97">
                  <c:v>90784.764365917305</c:v>
                </c:pt>
                <c:pt idx="98">
                  <c:v>90246.645188234659</c:v>
                </c:pt>
                <c:pt idx="99">
                  <c:v>90398.717488301641</c:v>
                </c:pt>
                <c:pt idx="100">
                  <c:v>89883.002605491871</c:v>
                </c:pt>
                <c:pt idx="101">
                  <c:v>89432.343164151185</c:v>
                </c:pt>
                <c:pt idx="102">
                  <c:v>89378.976951431745</c:v>
                </c:pt>
                <c:pt idx="103">
                  <c:v>89274.934555188534</c:v>
                </c:pt>
                <c:pt idx="104">
                  <c:v>89105.859103901341</c:v>
                </c:pt>
                <c:pt idx="105">
                  <c:v>88906.85191435591</c:v>
                </c:pt>
                <c:pt idx="106">
                  <c:v>88718.68047246871</c:v>
                </c:pt>
                <c:pt idx="107">
                  <c:v>88051.407632251474</c:v>
                </c:pt>
                <c:pt idx="108">
                  <c:v>88099.613883251455</c:v>
                </c:pt>
                <c:pt idx="109">
                  <c:v>87529.96703072419</c:v>
                </c:pt>
                <c:pt idx="110">
                  <c:v>87245.542779590833</c:v>
                </c:pt>
                <c:pt idx="111">
                  <c:v>86819.247132167104</c:v>
                </c:pt>
                <c:pt idx="112">
                  <c:v>86174.844628443214</c:v>
                </c:pt>
                <c:pt idx="113">
                  <c:v>85673.512934304788</c:v>
                </c:pt>
                <c:pt idx="114">
                  <c:v>85417.733072156057</c:v>
                </c:pt>
                <c:pt idx="115">
                  <c:v>84672.305024233574</c:v>
                </c:pt>
                <c:pt idx="116">
                  <c:v>83654.42969443991</c:v>
                </c:pt>
                <c:pt idx="117">
                  <c:v>82361.628317345312</c:v>
                </c:pt>
                <c:pt idx="118">
                  <c:v>81514.437516630074</c:v>
                </c:pt>
                <c:pt idx="119">
                  <c:v>79810.244846957226</c:v>
                </c:pt>
                <c:pt idx="120">
                  <c:v>77885.961692500103</c:v>
                </c:pt>
                <c:pt idx="121">
                  <c:v>75143.435921172815</c:v>
                </c:pt>
                <c:pt idx="122">
                  <c:v>72006.591260982503</c:v>
                </c:pt>
                <c:pt idx="123">
                  <c:v>68017.613606087398</c:v>
                </c:pt>
                <c:pt idx="124">
                  <c:v>62528.952039918244</c:v>
                </c:pt>
                <c:pt idx="125">
                  <c:v>55757.895808375768</c:v>
                </c:pt>
                <c:pt idx="126">
                  <c:v>46236.168790477539</c:v>
                </c:pt>
                <c:pt idx="127">
                  <c:v>34081.069090406454</c:v>
                </c:pt>
                <c:pt idx="128">
                  <c:v>16884.704134270978</c:v>
                </c:pt>
                <c:pt idx="129">
                  <c:v>-4962.7850499699452</c:v>
                </c:pt>
                <c:pt idx="130">
                  <c:v>-37560.790861659974</c:v>
                </c:pt>
                <c:pt idx="131">
                  <c:v>-76841.486317019022</c:v>
                </c:pt>
                <c:pt idx="132">
                  <c:v>-116494.03775480144</c:v>
                </c:pt>
                <c:pt idx="133">
                  <c:v>-158841.90076507739</c:v>
                </c:pt>
                <c:pt idx="134">
                  <c:v>-194716.77988072915</c:v>
                </c:pt>
                <c:pt idx="135">
                  <c:v>-228452.02166604693</c:v>
                </c:pt>
                <c:pt idx="136">
                  <c:v>-258639.35141890362</c:v>
                </c:pt>
                <c:pt idx="137">
                  <c:v>-285898.67024348833</c:v>
                </c:pt>
                <c:pt idx="138">
                  <c:v>-311250.35511992167</c:v>
                </c:pt>
                <c:pt idx="139">
                  <c:v>-334071.0083433289</c:v>
                </c:pt>
                <c:pt idx="140">
                  <c:v>-355874.98880305327</c:v>
                </c:pt>
                <c:pt idx="141">
                  <c:v>-376908.19179713348</c:v>
                </c:pt>
                <c:pt idx="142">
                  <c:v>-396798.95152891969</c:v>
                </c:pt>
                <c:pt idx="143">
                  <c:v>-415759.72561903764</c:v>
                </c:pt>
                <c:pt idx="144">
                  <c:v>-433394.35618993687</c:v>
                </c:pt>
                <c:pt idx="145">
                  <c:v>-449602.36521104455</c:v>
                </c:pt>
                <c:pt idx="146">
                  <c:v>-464269.35487684712</c:v>
                </c:pt>
                <c:pt idx="147">
                  <c:v>-475801.83149703796</c:v>
                </c:pt>
                <c:pt idx="148">
                  <c:v>-484434.20840988762</c:v>
                </c:pt>
                <c:pt idx="149">
                  <c:v>-489337.41616785963</c:v>
                </c:pt>
                <c:pt idx="150">
                  <c:v>-485038.92866380879</c:v>
                </c:pt>
                <c:pt idx="151">
                  <c:v>-476796.46098315221</c:v>
                </c:pt>
                <c:pt idx="152">
                  <c:v>-464872.02354025259</c:v>
                </c:pt>
                <c:pt idx="153">
                  <c:v>-451260.89970765315</c:v>
                </c:pt>
                <c:pt idx="154">
                  <c:v>-434812.45640610292</c:v>
                </c:pt>
                <c:pt idx="155">
                  <c:v>-418182.6428284017</c:v>
                </c:pt>
                <c:pt idx="156">
                  <c:v>-399799.36693910003</c:v>
                </c:pt>
                <c:pt idx="157">
                  <c:v>-381018.69252872118</c:v>
                </c:pt>
                <c:pt idx="158">
                  <c:v>-362056.50516108301</c:v>
                </c:pt>
                <c:pt idx="159">
                  <c:v>-342160.90655132383</c:v>
                </c:pt>
                <c:pt idx="160">
                  <c:v>-322306.35014674079</c:v>
                </c:pt>
                <c:pt idx="161">
                  <c:v>-302615.95128057973</c:v>
                </c:pt>
                <c:pt idx="162">
                  <c:v>-283012.13673443883</c:v>
                </c:pt>
                <c:pt idx="163">
                  <c:v>-263997.15811302466</c:v>
                </c:pt>
                <c:pt idx="164">
                  <c:v>-244530.0889909009</c:v>
                </c:pt>
                <c:pt idx="165">
                  <c:v>-226003.85034047841</c:v>
                </c:pt>
                <c:pt idx="166">
                  <c:v>-208874.17741716918</c:v>
                </c:pt>
                <c:pt idx="167">
                  <c:v>-193020.46656509349</c:v>
                </c:pt>
                <c:pt idx="168">
                  <c:v>-178498.57994375567</c:v>
                </c:pt>
                <c:pt idx="169">
                  <c:v>-163380.12252731356</c:v>
                </c:pt>
                <c:pt idx="170">
                  <c:v>-152875.29884012174</c:v>
                </c:pt>
                <c:pt idx="171">
                  <c:v>-141457.15684486672</c:v>
                </c:pt>
                <c:pt idx="172">
                  <c:v>-132976.43045091626</c:v>
                </c:pt>
                <c:pt idx="173">
                  <c:v>-124510.13178040224</c:v>
                </c:pt>
                <c:pt idx="174">
                  <c:v>-117099.03229694423</c:v>
                </c:pt>
                <c:pt idx="175">
                  <c:v>-111499.3089425361</c:v>
                </c:pt>
                <c:pt idx="176">
                  <c:v>-106807.15455503344</c:v>
                </c:pt>
                <c:pt idx="177">
                  <c:v>-101958.39113295617</c:v>
                </c:pt>
                <c:pt idx="178">
                  <c:v>-98141.777259508584</c:v>
                </c:pt>
                <c:pt idx="179">
                  <c:v>-94377.112397638368</c:v>
                </c:pt>
                <c:pt idx="180">
                  <c:v>-91773.247172991672</c:v>
                </c:pt>
                <c:pt idx="181">
                  <c:v>-89413.136457694724</c:v>
                </c:pt>
                <c:pt idx="182">
                  <c:v>-87329.196153228258</c:v>
                </c:pt>
                <c:pt idx="183">
                  <c:v>-85305.077737409592</c:v>
                </c:pt>
                <c:pt idx="184">
                  <c:v>-84230.177260623313</c:v>
                </c:pt>
                <c:pt idx="185">
                  <c:v>-82783.112844090647</c:v>
                </c:pt>
                <c:pt idx="186">
                  <c:v>-81963.475996915688</c:v>
                </c:pt>
                <c:pt idx="187">
                  <c:v>-80870.318119062416</c:v>
                </c:pt>
                <c:pt idx="188">
                  <c:v>-80078.387860239964</c:v>
                </c:pt>
                <c:pt idx="189">
                  <c:v>-79452.249572242901</c:v>
                </c:pt>
                <c:pt idx="190">
                  <c:v>-78796.540527523874</c:v>
                </c:pt>
                <c:pt idx="191">
                  <c:v>-78271.665989590707</c:v>
                </c:pt>
                <c:pt idx="192">
                  <c:v>-77819.357464220055</c:v>
                </c:pt>
                <c:pt idx="193">
                  <c:v>-77217.221868019638</c:v>
                </c:pt>
                <c:pt idx="194">
                  <c:v>-76784.771366576722</c:v>
                </c:pt>
                <c:pt idx="195">
                  <c:v>-76219.472332783087</c:v>
                </c:pt>
                <c:pt idx="196">
                  <c:v>-76333.782523067333</c:v>
                </c:pt>
                <c:pt idx="197">
                  <c:v>-75996.547752462138</c:v>
                </c:pt>
                <c:pt idx="198">
                  <c:v>-75641.151502890163</c:v>
                </c:pt>
                <c:pt idx="199">
                  <c:v>-75440.600097358605</c:v>
                </c:pt>
                <c:pt idx="200">
                  <c:v>-75144.195125643615</c:v>
                </c:pt>
                <c:pt idx="201">
                  <c:v>-74793.818003047112</c:v>
                </c:pt>
                <c:pt idx="202">
                  <c:v>-74345.925374620667</c:v>
                </c:pt>
                <c:pt idx="203">
                  <c:v>-74520.214807707118</c:v>
                </c:pt>
                <c:pt idx="204">
                  <c:v>-73957.726098887739</c:v>
                </c:pt>
                <c:pt idx="205">
                  <c:v>-73917.991476747819</c:v>
                </c:pt>
                <c:pt idx="206">
                  <c:v>-73318.113483253939</c:v>
                </c:pt>
                <c:pt idx="207">
                  <c:v>-73341.623935001437</c:v>
                </c:pt>
                <c:pt idx="208">
                  <c:v>-72345.184871982987</c:v>
                </c:pt>
                <c:pt idx="209">
                  <c:v>-72437.629292045385</c:v>
                </c:pt>
                <c:pt idx="210">
                  <c:v>-72204.970954447228</c:v>
                </c:pt>
                <c:pt idx="211">
                  <c:v>-71793.950687098797</c:v>
                </c:pt>
                <c:pt idx="212">
                  <c:v>-71409.605008991828</c:v>
                </c:pt>
                <c:pt idx="213">
                  <c:v>-70198.647192260032</c:v>
                </c:pt>
                <c:pt idx="214">
                  <c:v>-69859.136285827102</c:v>
                </c:pt>
                <c:pt idx="215">
                  <c:v>-69286.476767422864</c:v>
                </c:pt>
                <c:pt idx="216">
                  <c:v>-67916.838539560311</c:v>
                </c:pt>
                <c:pt idx="217">
                  <c:v>-66781.16511369028</c:v>
                </c:pt>
                <c:pt idx="218">
                  <c:v>-65031.540071433985</c:v>
                </c:pt>
                <c:pt idx="219">
                  <c:v>-63144.843318474348</c:v>
                </c:pt>
                <c:pt idx="220">
                  <c:v>-60901.006846444965</c:v>
                </c:pt>
                <c:pt idx="221">
                  <c:v>-56582.716937541853</c:v>
                </c:pt>
                <c:pt idx="222">
                  <c:v>-52281.027519528798</c:v>
                </c:pt>
                <c:pt idx="223">
                  <c:v>-46508.025760115634</c:v>
                </c:pt>
                <c:pt idx="224">
                  <c:v>-37676.542531387699</c:v>
                </c:pt>
                <c:pt idx="225">
                  <c:v>-27024.104604934058</c:v>
                </c:pt>
                <c:pt idx="226">
                  <c:v>-13414.455477811565</c:v>
                </c:pt>
                <c:pt idx="227">
                  <c:v>6368.3203004795851</c:v>
                </c:pt>
                <c:pt idx="228">
                  <c:v>31328.971215176862</c:v>
                </c:pt>
                <c:pt idx="229">
                  <c:v>60992.238806090507</c:v>
                </c:pt>
                <c:pt idx="230">
                  <c:v>98265.72701777461</c:v>
                </c:pt>
                <c:pt idx="231">
                  <c:v>137044.95908065161</c:v>
                </c:pt>
                <c:pt idx="232">
                  <c:v>172823.56714269801</c:v>
                </c:pt>
                <c:pt idx="233">
                  <c:v>205698.67423906032</c:v>
                </c:pt>
                <c:pt idx="234">
                  <c:v>236013.41328597165</c:v>
                </c:pt>
                <c:pt idx="235">
                  <c:v>263729.62043408951</c:v>
                </c:pt>
                <c:pt idx="236">
                  <c:v>289248.12258414604</c:v>
                </c:pt>
                <c:pt idx="237">
                  <c:v>313169.34727479191</c:v>
                </c:pt>
                <c:pt idx="238">
                  <c:v>335791.62372517405</c:v>
                </c:pt>
                <c:pt idx="239">
                  <c:v>357067.80472272745</c:v>
                </c:pt>
                <c:pt idx="240">
                  <c:v>377272.56598287745</c:v>
                </c:pt>
                <c:pt idx="241">
                  <c:v>397034.63283666898</c:v>
                </c:pt>
                <c:pt idx="242">
                  <c:v>416039.10364884062</c:v>
                </c:pt>
                <c:pt idx="243">
                  <c:v>433115.33596266061</c:v>
                </c:pt>
                <c:pt idx="244">
                  <c:v>449881.42566326109</c:v>
                </c:pt>
                <c:pt idx="245">
                  <c:v>463748.91834350443</c:v>
                </c:pt>
                <c:pt idx="246">
                  <c:v>475357.10171076789</c:v>
                </c:pt>
                <c:pt idx="247">
                  <c:v>484160.54094888153</c:v>
                </c:pt>
                <c:pt idx="248">
                  <c:v>488851.74268839165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B99-4317-9351-C1C2B1B8E9D4}"/>
            </c:ext>
          </c:extLst>
        </c:ser>
        <c:ser>
          <c:idx val="3"/>
          <c:order val="3"/>
          <c:tx>
            <c:v>Fe2O3 Sample #3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'#3'!$G$9:$G$257</c:f>
              <c:numCache>
                <c:formatCode>General</c:formatCode>
                <c:ptCount val="249"/>
                <c:pt idx="0">
                  <c:v>-23.121053600513246</c:v>
                </c:pt>
                <c:pt idx="1">
                  <c:v>96.096876951988691</c:v>
                </c:pt>
                <c:pt idx="2">
                  <c:v>93.929273730202837</c:v>
                </c:pt>
                <c:pt idx="3">
                  <c:v>83.813815744470645</c:v>
                </c:pt>
                <c:pt idx="4">
                  <c:v>124.27566191696228</c:v>
                </c:pt>
                <c:pt idx="5">
                  <c:v>157.51216876002093</c:v>
                </c:pt>
                <c:pt idx="6">
                  <c:v>212.42466987544341</c:v>
                </c:pt>
                <c:pt idx="7">
                  <c:v>289.73569492730428</c:v>
                </c:pt>
                <c:pt idx="8">
                  <c:v>330.92008499343171</c:v>
                </c:pt>
                <c:pt idx="9">
                  <c:v>463.86611236566716</c:v>
                </c:pt>
                <c:pt idx="10">
                  <c:v>573.69111459651208</c:v>
                </c:pt>
                <c:pt idx="11">
                  <c:v>705.91465973654238</c:v>
                </c:pt>
                <c:pt idx="12">
                  <c:v>874.98734106726147</c:v>
                </c:pt>
                <c:pt idx="13">
                  <c:v>1080.9092344796547</c:v>
                </c:pt>
                <c:pt idx="14">
                  <c:v>1325.8478625613368</c:v>
                </c:pt>
                <c:pt idx="15">
                  <c:v>1621.3638896649727</c:v>
                </c:pt>
                <c:pt idx="16">
                  <c:v>2023.0920904379877</c:v>
                </c:pt>
                <c:pt idx="17">
                  <c:v>2463.1146574845575</c:v>
                </c:pt>
                <c:pt idx="18">
                  <c:v>3049.0887289384818</c:v>
                </c:pt>
                <c:pt idx="19">
                  <c:v>3743.4428761043268</c:v>
                </c:pt>
                <c:pt idx="20">
                  <c:v>4630.7134396474576</c:v>
                </c:pt>
                <c:pt idx="21">
                  <c:v>5703.6745347719534</c:v>
                </c:pt>
                <c:pt idx="22">
                  <c:v>7026.6323925134657</c:v>
                </c:pt>
                <c:pt idx="23">
                  <c:v>8640.7706250554711</c:v>
                </c:pt>
                <c:pt idx="24">
                  <c:v>10649.412387830442</c:v>
                </c:pt>
                <c:pt idx="25">
                  <c:v>13101.688901140047</c:v>
                </c:pt>
                <c:pt idx="26">
                  <c:v>16123.321483870883</c:v>
                </c:pt>
                <c:pt idx="27">
                  <c:v>19832.083239663621</c:v>
                </c:pt>
                <c:pt idx="28">
                  <c:v>24431.728729070313</c:v>
                </c:pt>
                <c:pt idx="29">
                  <c:v>30095.662794739495</c:v>
                </c:pt>
                <c:pt idx="30">
                  <c:v>37050.764892805142</c:v>
                </c:pt>
                <c:pt idx="31">
                  <c:v>45635.899832521274</c:v>
                </c:pt>
                <c:pt idx="32">
                  <c:v>56192.827209094285</c:v>
                </c:pt>
                <c:pt idx="33">
                  <c:v>69249.7228189655</c:v>
                </c:pt>
                <c:pt idx="34">
                  <c:v>85271.884647769053</c:v>
                </c:pt>
                <c:pt idx="35">
                  <c:v>104995.58644568307</c:v>
                </c:pt>
                <c:pt idx="36">
                  <c:v>129300.15587337338</c:v>
                </c:pt>
                <c:pt idx="37">
                  <c:v>159249.14506092825</c:v>
                </c:pt>
                <c:pt idx="38">
                  <c:v>196109.16857315149</c:v>
                </c:pt>
                <c:pt idx="39">
                  <c:v>241533.34346970485</c:v>
                </c:pt>
                <c:pt idx="40">
                  <c:v>297468.24330764619</c:v>
                </c:pt>
                <c:pt idx="41">
                  <c:v>366327.77957949816</c:v>
                </c:pt>
                <c:pt idx="42">
                  <c:v>451202.30142806534</c:v>
                </c:pt>
                <c:pt idx="43">
                  <c:v>555632.87034048815</c:v>
                </c:pt>
                <c:pt idx="44">
                  <c:v>684286.32811791857</c:v>
                </c:pt>
                <c:pt idx="45">
                  <c:v>842719.01240068872</c:v>
                </c:pt>
                <c:pt idx="46">
                  <c:v>1037816.6281363701</c:v>
                </c:pt>
                <c:pt idx="47">
                  <c:v>1278094.2367737128</c:v>
                </c:pt>
                <c:pt idx="48">
                  <c:v>1573999.7230852135</c:v>
                </c:pt>
                <c:pt idx="49">
                  <c:v>1938449.5442773644</c:v>
                </c:pt>
                <c:pt idx="50">
                  <c:v>2387288.3209737595</c:v>
                </c:pt>
                <c:pt idx="51">
                  <c:v>1938474.1791000988</c:v>
                </c:pt>
                <c:pt idx="52">
                  <c:v>1574008.9708577855</c:v>
                </c:pt>
                <c:pt idx="53">
                  <c:v>1278094.9361850838</c:v>
                </c:pt>
                <c:pt idx="54">
                  <c:v>1037777.6165243504</c:v>
                </c:pt>
                <c:pt idx="55">
                  <c:v>842711.00802610174</c:v>
                </c:pt>
                <c:pt idx="56">
                  <c:v>684274.04956273863</c:v>
                </c:pt>
                <c:pt idx="57">
                  <c:v>555605.3990160824</c:v>
                </c:pt>
                <c:pt idx="58">
                  <c:v>451171.23590633675</c:v>
                </c:pt>
                <c:pt idx="59">
                  <c:v>366313.34450592392</c:v>
                </c:pt>
                <c:pt idx="60">
                  <c:v>297447.9992340742</c:v>
                </c:pt>
                <c:pt idx="61">
                  <c:v>241521.7934680366</c:v>
                </c:pt>
                <c:pt idx="62">
                  <c:v>196113.5010380334</c:v>
                </c:pt>
                <c:pt idx="63">
                  <c:v>159226.74932598564</c:v>
                </c:pt>
                <c:pt idx="64">
                  <c:v>129281.36404980104</c:v>
                </c:pt>
                <c:pt idx="65">
                  <c:v>104971.74817478744</c:v>
                </c:pt>
                <c:pt idx="66">
                  <c:v>85255.268770684255</c:v>
                </c:pt>
                <c:pt idx="67">
                  <c:v>69205.645331521679</c:v>
                </c:pt>
                <c:pt idx="68">
                  <c:v>56180.54622540265</c:v>
                </c:pt>
                <c:pt idx="69">
                  <c:v>45614.946633531494</c:v>
                </c:pt>
                <c:pt idx="70">
                  <c:v>37030.534176047477</c:v>
                </c:pt>
                <c:pt idx="71">
                  <c:v>30063.14988003434</c:v>
                </c:pt>
                <c:pt idx="72">
                  <c:v>24401.382046805968</c:v>
                </c:pt>
                <c:pt idx="73">
                  <c:v>19797.401664005971</c:v>
                </c:pt>
                <c:pt idx="74">
                  <c:v>16088.639908213312</c:v>
                </c:pt>
                <c:pt idx="75">
                  <c:v>13043.16419756377</c:v>
                </c:pt>
                <c:pt idx="76">
                  <c:v>10610.395918779644</c:v>
                </c:pt>
                <c:pt idx="77">
                  <c:v>8601.754156004672</c:v>
                </c:pt>
                <c:pt idx="78">
                  <c:v>6991.9508168558841</c:v>
                </c:pt>
                <c:pt idx="79">
                  <c:v>5642.2592951389734</c:v>
                </c:pt>
                <c:pt idx="80">
                  <c:v>4577.2459599146896</c:v>
                </c:pt>
                <c:pt idx="81">
                  <c:v>3712.3741669537171</c:v>
                </c:pt>
                <c:pt idx="82">
                  <c:v>3000.6792319590772</c:v>
                </c:pt>
                <c:pt idx="83">
                  <c:v>2436.3809935091667</c:v>
                </c:pt>
                <c:pt idx="84">
                  <c:v>1965.2894896390108</c:v>
                </c:pt>
                <c:pt idx="85">
                  <c:v>1590.2948769504046</c:v>
                </c:pt>
                <c:pt idx="86">
                  <c:v>1270.9353804186562</c:v>
                </c:pt>
                <c:pt idx="87">
                  <c:v>1026.7192725146799</c:v>
                </c:pt>
                <c:pt idx="88">
                  <c:v>821.51989927998432</c:v>
                </c:pt>
                <c:pt idx="89">
                  <c:v>666.17532899856485</c:v>
                </c:pt>
                <c:pt idx="90">
                  <c:v>557.79540506861861</c:v>
                </c:pt>
                <c:pt idx="91">
                  <c:v>501.43784462504613</c:v>
                </c:pt>
                <c:pt idx="92">
                  <c:v>325.13980973533614</c:v>
                </c:pt>
                <c:pt idx="93">
                  <c:v>330.19752687023464</c:v>
                </c:pt>
                <c:pt idx="94">
                  <c:v>287.56808696233105</c:v>
                </c:pt>
                <c:pt idx="95">
                  <c:v>255.77663944742241</c:v>
                </c:pt>
                <c:pt idx="96">
                  <c:v>222.54014209073682</c:v>
                </c:pt>
                <c:pt idx="97">
                  <c:v>201.58667748244844</c:v>
                </c:pt>
                <c:pt idx="98">
                  <c:v>137.28125278855572</c:v>
                </c:pt>
                <c:pt idx="99">
                  <c:v>128.61085413097274</c:v>
                </c:pt>
                <c:pt idx="100">
                  <c:v>-132.94605583135791</c:v>
                </c:pt>
                <c:pt idx="101">
                  <c:v>-130.05592294549663</c:v>
                </c:pt>
                <c:pt idx="102">
                  <c:v>-130.05592294549663</c:v>
                </c:pt>
                <c:pt idx="103">
                  <c:v>-132.94605583135791</c:v>
                </c:pt>
                <c:pt idx="104">
                  <c:v>-172.68536759658761</c:v>
                </c:pt>
                <c:pt idx="105">
                  <c:v>-201.58667748244844</c:v>
                </c:pt>
                <c:pt idx="106">
                  <c:v>-356.20870861342235</c:v>
                </c:pt>
                <c:pt idx="107">
                  <c:v>-341.7580584136781</c:v>
                </c:pt>
                <c:pt idx="108">
                  <c:v>-504.32796328134617</c:v>
                </c:pt>
                <c:pt idx="109">
                  <c:v>-544.78979522427733</c:v>
                </c:pt>
                <c:pt idx="110">
                  <c:v>-755.76938679882301</c:v>
                </c:pt>
                <c:pt idx="111">
                  <c:v>-907.50135619174182</c:v>
                </c:pt>
                <c:pt idx="112">
                  <c:v>-1122.0935676275349</c:v>
                </c:pt>
                <c:pt idx="113">
                  <c:v>-1364.1420770529201</c:v>
                </c:pt>
                <c:pt idx="114">
                  <c:v>-1661.103144511959</c:v>
                </c:pt>
                <c:pt idx="115">
                  <c:v>-2041.8780704041644</c:v>
                </c:pt>
                <c:pt idx="116">
                  <c:v>-2507.9117433029278</c:v>
                </c:pt>
                <c:pt idx="117">
                  <c:v>-3093.1631807426588</c:v>
                </c:pt>
                <c:pt idx="118">
                  <c:v>-3794.0202751262887</c:v>
                </c:pt>
                <c:pt idx="119">
                  <c:v>-4648.7767097084588</c:v>
                </c:pt>
                <c:pt idx="120">
                  <c:v>-5712.345232250309</c:v>
                </c:pt>
                <c:pt idx="121">
                  <c:v>-7037.4705366884491</c:v>
                </c:pt>
                <c:pt idx="122">
                  <c:v>-8668.227074827033</c:v>
                </c:pt>
                <c:pt idx="123">
                  <c:v>-10658.082781744855</c:v>
                </c:pt>
                <c:pt idx="124">
                  <c:v>-13104.578830068811</c:v>
                </c:pt>
                <c:pt idx="125">
                  <c:v>-16154.390648367424</c:v>
                </c:pt>
                <c:pt idx="126">
                  <c:v>-19887.717407183092</c:v>
                </c:pt>
                <c:pt idx="127">
                  <c:v>-24483.748664045022</c:v>
                </c:pt>
                <c:pt idx="128">
                  <c:v>-30120.950887122497</c:v>
                </c:pt>
                <c:pt idx="129">
                  <c:v>-37090.503844088133</c:v>
                </c:pt>
                <c:pt idx="130">
                  <c:v>-45659.021692463553</c:v>
                </c:pt>
                <c:pt idx="131">
                  <c:v>-56214.504104572181</c:v>
                </c:pt>
                <c:pt idx="132">
                  <c:v>-69269.228624979209</c:v>
                </c:pt>
                <c:pt idx="133">
                  <c:v>-85278.393059137772</c:v>
                </c:pt>
                <c:pt idx="134">
                  <c:v>-105021.6055200892</c:v>
                </c:pt>
                <c:pt idx="135">
                  <c:v>-129321.10421534009</c:v>
                </c:pt>
                <c:pt idx="136">
                  <c:v>-159239.74672063062</c:v>
                </c:pt>
                <c:pt idx="137">
                  <c:v>-196098.31798285421</c:v>
                </c:pt>
                <c:pt idx="138">
                  <c:v>-241557.20116869453</c:v>
                </c:pt>
                <c:pt idx="139">
                  <c:v>-297471.86664710974</c:v>
                </c:pt>
                <c:pt idx="140">
                  <c:v>-366384.87874670327</c:v>
                </c:pt>
                <c:pt idx="141">
                  <c:v>-451112.67963210837</c:v>
                </c:pt>
                <c:pt idx="142">
                  <c:v>-555583.71726358111</c:v>
                </c:pt>
                <c:pt idx="143">
                  <c:v>-684246.61709452013</c:v>
                </c:pt>
                <c:pt idx="144">
                  <c:v>-842661.93266157305</c:v>
                </c:pt>
                <c:pt idx="145">
                  <c:v>-1037771.8658086255</c:v>
                </c:pt>
                <c:pt idx="146">
                  <c:v>-1278073.9538439536</c:v>
                </c:pt>
                <c:pt idx="147">
                  <c:v>-1574050.9355400461</c:v>
                </c:pt>
                <c:pt idx="148">
                  <c:v>-1938464.6981904027</c:v>
                </c:pt>
                <c:pt idx="149">
                  <c:v>-2387271.8459503534</c:v>
                </c:pt>
                <c:pt idx="150">
                  <c:v>-1938458.9474746857</c:v>
                </c:pt>
                <c:pt idx="151">
                  <c:v>-1574045.8842356999</c:v>
                </c:pt>
                <c:pt idx="152">
                  <c:v>-1278085.5329877625</c:v>
                </c:pt>
                <c:pt idx="153">
                  <c:v>-1037804.3107250067</c:v>
                </c:pt>
                <c:pt idx="154">
                  <c:v>-842685.79036056192</c:v>
                </c:pt>
                <c:pt idx="155">
                  <c:v>-684247.31650589115</c:v>
                </c:pt>
                <c:pt idx="156">
                  <c:v>-555606.13728364068</c:v>
                </c:pt>
                <c:pt idx="157">
                  <c:v>-451173.39242473029</c:v>
                </c:pt>
                <c:pt idx="158">
                  <c:v>-366347.30481360515</c:v>
                </c:pt>
                <c:pt idx="159">
                  <c:v>-297520.98086782952</c:v>
                </c:pt>
                <c:pt idx="160">
                  <c:v>-241583.21538607695</c:v>
                </c:pt>
                <c:pt idx="161">
                  <c:v>-196157.56395440697</c:v>
                </c:pt>
                <c:pt idx="162">
                  <c:v>-159269.3697064062</c:v>
                </c:pt>
                <c:pt idx="163">
                  <c:v>-129345.67103974661</c:v>
                </c:pt>
                <c:pt idx="164">
                  <c:v>-105050.50966640054</c:v>
                </c:pt>
                <c:pt idx="165">
                  <c:v>-85318.128367653917</c:v>
                </c:pt>
                <c:pt idx="166">
                  <c:v>-69280.788340694504</c:v>
                </c:pt>
                <c:pt idx="167">
                  <c:v>-56263.637753385585</c:v>
                </c:pt>
                <c:pt idx="168">
                  <c:v>-45695.145804073894</c:v>
                </c:pt>
                <c:pt idx="169">
                  <c:v>-37104.955917243962</c:v>
                </c:pt>
                <c:pt idx="170">
                  <c:v>-30152.021265874882</c:v>
                </c:pt>
                <c:pt idx="171">
                  <c:v>-24467.131572704315</c:v>
                </c:pt>
                <c:pt idx="172">
                  <c:v>-19887.717407183092</c:v>
                </c:pt>
                <c:pt idx="173">
                  <c:v>-16154.390648367424</c:v>
                </c:pt>
                <c:pt idx="174">
                  <c:v>-13133.480547868778</c:v>
                </c:pt>
                <c:pt idx="175">
                  <c:v>-10658.805871104927</c:v>
                </c:pt>
                <c:pt idx="176">
                  <c:v>-8666.782110362652</c:v>
                </c:pt>
                <c:pt idx="177">
                  <c:v>-7035.3030899918285</c:v>
                </c:pt>
                <c:pt idx="178">
                  <c:v>-5720.2928403685328</c:v>
                </c:pt>
                <c:pt idx="179">
                  <c:v>-4654.5570229120503</c:v>
                </c:pt>
                <c:pt idx="180">
                  <c:v>-3791.1300426335042</c:v>
                </c:pt>
                <c:pt idx="181">
                  <c:v>-3074.3775802314381</c:v>
                </c:pt>
                <c:pt idx="182">
                  <c:v>-2514.414386956747</c:v>
                </c:pt>
                <c:pt idx="183">
                  <c:v>-2043.3230348685699</c:v>
                </c:pt>
                <c:pt idx="184">
                  <c:v>-1668.3284221799638</c:v>
                </c:pt>
                <c:pt idx="185">
                  <c:v>-1347.5238473473216</c:v>
                </c:pt>
                <c:pt idx="186">
                  <c:v>-1098.2499843629503</c:v>
                </c:pt>
                <c:pt idx="187">
                  <c:v>-907.50131824624293</c:v>
                </c:pt>
                <c:pt idx="188">
                  <c:v>-737.70611673782571</c:v>
                </c:pt>
                <c:pt idx="189">
                  <c:v>-601.86989481829835</c:v>
                </c:pt>
                <c:pt idx="190">
                  <c:v>-514.44343549663961</c:v>
                </c:pt>
                <c:pt idx="191">
                  <c:v>-414.01136633063959</c:v>
                </c:pt>
                <c:pt idx="192">
                  <c:v>-335.25526297788178</c:v>
                </c:pt>
                <c:pt idx="193">
                  <c:v>-299.85114816984992</c:v>
                </c:pt>
                <c:pt idx="194">
                  <c:v>-261.55690521914414</c:v>
                </c:pt>
                <c:pt idx="195">
                  <c:v>-193.63882271850207</c:v>
                </c:pt>
                <c:pt idx="196">
                  <c:v>-177.74309421786</c:v>
                </c:pt>
                <c:pt idx="197">
                  <c:v>-135.83618871721836</c:v>
                </c:pt>
                <c:pt idx="198">
                  <c:v>-138.00378245263033</c:v>
                </c:pt>
                <c:pt idx="199">
                  <c:v>52.022368229561359</c:v>
                </c:pt>
                <c:pt idx="200">
                  <c:v>51.299833822299405</c:v>
                </c:pt>
                <c:pt idx="201">
                  <c:v>87.426483037593059</c:v>
                </c:pt>
                <c:pt idx="202">
                  <c:v>131.50098701683402</c:v>
                </c:pt>
                <c:pt idx="203">
                  <c:v>156.06710468868437</c:v>
                </c:pt>
                <c:pt idx="204">
                  <c:v>205.19934477557163</c:v>
                </c:pt>
                <c:pt idx="205">
                  <c:v>308.52155157061947</c:v>
                </c:pt>
                <c:pt idx="206">
                  <c:v>351.87351165622374</c:v>
                </c:pt>
                <c:pt idx="207">
                  <c:v>466.75624999471495</c:v>
                </c:pt>
                <c:pt idx="208">
                  <c:v>578.74885070415917</c:v>
                </c:pt>
                <c:pt idx="209">
                  <c:v>710.24985669374018</c:v>
                </c:pt>
                <c:pt idx="210">
                  <c:v>878.60005579225322</c:v>
                </c:pt>
                <c:pt idx="211">
                  <c:v>1080.9092344796547</c:v>
                </c:pt>
                <c:pt idx="212">
                  <c:v>1330.1830595185354</c:v>
                </c:pt>
                <c:pt idx="213">
                  <c:v>1630.034131797391</c:v>
                </c:pt>
                <c:pt idx="214">
                  <c:v>2005.7513026091935</c:v>
                </c:pt>
                <c:pt idx="215">
                  <c:v>2482.6229679009621</c:v>
                </c:pt>
                <c:pt idx="216">
                  <c:v>3060.6493553456557</c:v>
                </c:pt>
                <c:pt idx="217">
                  <c:v>3758.6160654545142</c:v>
                </c:pt>
                <c:pt idx="218">
                  <c:v>4638.6613513296479</c:v>
                </c:pt>
                <c:pt idx="219">
                  <c:v>5717.4026078757479</c:v>
                </c:pt>
                <c:pt idx="220">
                  <c:v>7033.8575183994917</c:v>
                </c:pt>
                <c:pt idx="221">
                  <c:v>8651.6090727944193</c:v>
                </c:pt>
                <c:pt idx="222">
                  <c:v>10636.407100522803</c:v>
                </c:pt>
                <c:pt idx="223">
                  <c:v>13107.468758997653</c:v>
                </c:pt>
                <c:pt idx="224">
                  <c:v>16131.269395553105</c:v>
                </c:pt>
                <c:pt idx="225">
                  <c:v>19838.586186881384</c:v>
                </c:pt>
                <c:pt idx="226">
                  <c:v>24420.889067075517</c:v>
                </c:pt>
                <c:pt idx="227">
                  <c:v>30093.495348042841</c:v>
                </c:pt>
                <c:pt idx="228">
                  <c:v>37060.157161823779</c:v>
                </c:pt>
                <c:pt idx="229">
                  <c:v>45658.300424487214</c:v>
                </c:pt>
                <c:pt idx="230">
                  <c:v>56213.782836595841</c:v>
                </c:pt>
                <c:pt idx="231">
                  <c:v>69241.774300155332</c:v>
                </c:pt>
                <c:pt idx="232">
                  <c:v>85250.207752291462</c:v>
                </c:pt>
                <c:pt idx="233">
                  <c:v>104981.86535455013</c:v>
                </c:pt>
                <c:pt idx="234">
                  <c:v>129292.20492605168</c:v>
                </c:pt>
                <c:pt idx="235">
                  <c:v>159251.30643634551</c:v>
                </c:pt>
                <c:pt idx="236">
                  <c:v>196099.03682231926</c:v>
                </c:pt>
                <c:pt idx="237">
                  <c:v>241533.35318375225</c:v>
                </c:pt>
                <c:pt idx="238">
                  <c:v>297474.02316550404</c:v>
                </c:pt>
                <c:pt idx="239">
                  <c:v>366340.81583033042</c:v>
                </c:pt>
                <c:pt idx="240">
                  <c:v>451180.60024747084</c:v>
                </c:pt>
                <c:pt idx="241">
                  <c:v>555634.28859132412</c:v>
                </c:pt>
                <c:pt idx="242">
                  <c:v>684292.81710119394</c:v>
                </c:pt>
                <c:pt idx="243">
                  <c:v>842729.1538655645</c:v>
                </c:pt>
                <c:pt idx="244">
                  <c:v>1037833.2585845252</c:v>
                </c:pt>
                <c:pt idx="245">
                  <c:v>1278141.874459316</c:v>
                </c:pt>
                <c:pt idx="246">
                  <c:v>1574050.1584163005</c:v>
                </c:pt>
                <c:pt idx="247">
                  <c:v>1938461.1234211733</c:v>
                </c:pt>
                <c:pt idx="248">
                  <c:v>2387341.1653884579</c:v>
                </c:pt>
              </c:numCache>
            </c:numRef>
          </c:xVal>
          <c:yVal>
            <c:numRef>
              <c:f>'#3'!$H$9:$H$257</c:f>
              <c:numCache>
                <c:formatCode>General</c:formatCode>
                <c:ptCount val="249"/>
                <c:pt idx="0">
                  <c:v>12366.670853972202</c:v>
                </c:pt>
                <c:pt idx="1">
                  <c:v>12836.442699815781</c:v>
                </c:pt>
                <c:pt idx="2">
                  <c:v>12573.683008675394</c:v>
                </c:pt>
                <c:pt idx="3">
                  <c:v>12840.964053097588</c:v>
                </c:pt>
                <c:pt idx="4">
                  <c:v>12795.480966354273</c:v>
                </c:pt>
                <c:pt idx="5">
                  <c:v>12602.736445940172</c:v>
                </c:pt>
                <c:pt idx="6">
                  <c:v>12739.30800836717</c:v>
                </c:pt>
                <c:pt idx="7">
                  <c:v>12852.625144495954</c:v>
                </c:pt>
                <c:pt idx="8">
                  <c:v>13377.707358951935</c:v>
                </c:pt>
                <c:pt idx="9">
                  <c:v>13129.191223665153</c:v>
                </c:pt>
                <c:pt idx="10">
                  <c:v>13129.695412791036</c:v>
                </c:pt>
                <c:pt idx="11">
                  <c:v>13530.011189694373</c:v>
                </c:pt>
                <c:pt idx="12">
                  <c:v>13562.280503924432</c:v>
                </c:pt>
                <c:pt idx="13">
                  <c:v>14139.560888101643</c:v>
                </c:pt>
                <c:pt idx="14">
                  <c:v>14772.591484423927</c:v>
                </c:pt>
                <c:pt idx="15">
                  <c:v>14759.000880206926</c:v>
                </c:pt>
                <c:pt idx="16">
                  <c:v>15542.948218562649</c:v>
                </c:pt>
                <c:pt idx="17">
                  <c:v>16180.058923290842</c:v>
                </c:pt>
                <c:pt idx="18">
                  <c:v>17213.390074049243</c:v>
                </c:pt>
                <c:pt idx="19">
                  <c:v>17992.530264979792</c:v>
                </c:pt>
                <c:pt idx="20">
                  <c:v>19539.417579086585</c:v>
                </c:pt>
                <c:pt idx="21">
                  <c:v>20676.902674852696</c:v>
                </c:pt>
                <c:pt idx="22">
                  <c:v>23438.514606093697</c:v>
                </c:pt>
                <c:pt idx="23">
                  <c:v>25877.895111123056</c:v>
                </c:pt>
                <c:pt idx="24">
                  <c:v>29295.00030204748</c:v>
                </c:pt>
                <c:pt idx="25">
                  <c:v>34430.891035380031</c:v>
                </c:pt>
                <c:pt idx="26">
                  <c:v>40278.705970528703</c:v>
                </c:pt>
                <c:pt idx="27">
                  <c:v>47620.885346429706</c:v>
                </c:pt>
                <c:pt idx="28">
                  <c:v>57669.483981477628</c:v>
                </c:pt>
                <c:pt idx="29">
                  <c:v>69088.102254197001</c:v>
                </c:pt>
                <c:pt idx="30">
                  <c:v>85829.030092544053</c:v>
                </c:pt>
                <c:pt idx="31">
                  <c:v>105934.4365923213</c:v>
                </c:pt>
                <c:pt idx="32">
                  <c:v>132151.69853759397</c:v>
                </c:pt>
                <c:pt idx="33">
                  <c:v>160764.72289803778</c:v>
                </c:pt>
                <c:pt idx="34">
                  <c:v>191832.41754496944</c:v>
                </c:pt>
                <c:pt idx="35">
                  <c:v>222594.33952117656</c:v>
                </c:pt>
                <c:pt idx="36">
                  <c:v>252237.37448566116</c:v>
                </c:pt>
                <c:pt idx="37">
                  <c:v>280142.13910178706</c:v>
                </c:pt>
                <c:pt idx="38">
                  <c:v>305762.18464438402</c:v>
                </c:pt>
                <c:pt idx="39">
                  <c:v>329668.38261624408</c:v>
                </c:pt>
                <c:pt idx="40">
                  <c:v>351047.87593122094</c:v>
                </c:pt>
                <c:pt idx="41">
                  <c:v>370066.49754592055</c:v>
                </c:pt>
                <c:pt idx="42">
                  <c:v>386815.3432966671</c:v>
                </c:pt>
                <c:pt idx="43">
                  <c:v>400947.33251633751</c:v>
                </c:pt>
                <c:pt idx="44">
                  <c:v>412445.66497832775</c:v>
                </c:pt>
                <c:pt idx="45">
                  <c:v>420966.23944567179</c:v>
                </c:pt>
                <c:pt idx="46">
                  <c:v>426227.73690117075</c:v>
                </c:pt>
                <c:pt idx="47">
                  <c:v>426053.97869438189</c:v>
                </c:pt>
                <c:pt idx="48">
                  <c:v>420721.04629691155</c:v>
                </c:pt>
                <c:pt idx="49">
                  <c:v>408355.87708396622</c:v>
                </c:pt>
                <c:pt idx="50">
                  <c:v>387764.12013128033</c:v>
                </c:pt>
                <c:pt idx="51">
                  <c:v>408944.38499202178</c:v>
                </c:pt>
                <c:pt idx="52">
                  <c:v>421575.58923580748</c:v>
                </c:pt>
                <c:pt idx="53">
                  <c:v>426863.02787549421</c:v>
                </c:pt>
                <c:pt idx="54">
                  <c:v>426933.94678284187</c:v>
                </c:pt>
                <c:pt idx="55">
                  <c:v>422856.64702157752</c:v>
                </c:pt>
                <c:pt idx="56">
                  <c:v>414658.09881718957</c:v>
                </c:pt>
                <c:pt idx="57">
                  <c:v>404148.81264228758</c:v>
                </c:pt>
                <c:pt idx="58">
                  <c:v>390949.89451714134</c:v>
                </c:pt>
                <c:pt idx="59">
                  <c:v>376182.26615333871</c:v>
                </c:pt>
                <c:pt idx="60">
                  <c:v>358687.46967055183</c:v>
                </c:pt>
                <c:pt idx="61">
                  <c:v>340718.20173861872</c:v>
                </c:pt>
                <c:pt idx="62">
                  <c:v>321760.01538392226</c:v>
                </c:pt>
                <c:pt idx="63">
                  <c:v>301792.1231070506</c:v>
                </c:pt>
                <c:pt idx="64">
                  <c:v>282025.44672548777</c:v>
                </c:pt>
                <c:pt idx="65">
                  <c:v>262574.68882774265</c:v>
                </c:pt>
                <c:pt idx="66">
                  <c:v>243550.33362982556</c:v>
                </c:pt>
                <c:pt idx="67">
                  <c:v>225743.1318683663</c:v>
                </c:pt>
                <c:pt idx="68">
                  <c:v>210256.60431708259</c:v>
                </c:pt>
                <c:pt idx="69">
                  <c:v>193788.15857556229</c:v>
                </c:pt>
                <c:pt idx="70">
                  <c:v>180890.96515708248</c:v>
                </c:pt>
                <c:pt idx="71">
                  <c:v>169761.91642655333</c:v>
                </c:pt>
                <c:pt idx="72">
                  <c:v>158507.23456490907</c:v>
                </c:pt>
                <c:pt idx="73">
                  <c:v>148519.90014303447</c:v>
                </c:pt>
                <c:pt idx="74">
                  <c:v>141508.94775414254</c:v>
                </c:pt>
                <c:pt idx="75">
                  <c:v>133234.11959895483</c:v>
                </c:pt>
                <c:pt idx="76">
                  <c:v>127221.30528730343</c:v>
                </c:pt>
                <c:pt idx="77">
                  <c:v>122180.18253477037</c:v>
                </c:pt>
                <c:pt idx="78">
                  <c:v>117513.60104730976</c:v>
                </c:pt>
                <c:pt idx="79">
                  <c:v>113235.38267573064</c:v>
                </c:pt>
                <c:pt idx="80">
                  <c:v>110141.90414224673</c:v>
                </c:pt>
                <c:pt idx="81">
                  <c:v>106888.41857704004</c:v>
                </c:pt>
                <c:pt idx="82">
                  <c:v>104523.68264187918</c:v>
                </c:pt>
                <c:pt idx="83">
                  <c:v>102424.03488979473</c:v>
                </c:pt>
                <c:pt idx="84">
                  <c:v>100914.69823017268</c:v>
                </c:pt>
                <c:pt idx="85">
                  <c:v>99390.434484604251</c:v>
                </c:pt>
                <c:pt idx="86">
                  <c:v>98056.751088804653</c:v>
                </c:pt>
                <c:pt idx="87">
                  <c:v>96744.171661502565</c:v>
                </c:pt>
                <c:pt idx="88">
                  <c:v>96307.47698815183</c:v>
                </c:pt>
                <c:pt idx="89">
                  <c:v>95026.466796782232</c:v>
                </c:pt>
                <c:pt idx="90">
                  <c:v>94233.426161438823</c:v>
                </c:pt>
                <c:pt idx="91">
                  <c:v>94149.326463799545</c:v>
                </c:pt>
                <c:pt idx="92">
                  <c:v>93146.192473981282</c:v>
                </c:pt>
                <c:pt idx="93">
                  <c:v>92948.671406123016</c:v>
                </c:pt>
                <c:pt idx="94">
                  <c:v>92627.670113474363</c:v>
                </c:pt>
                <c:pt idx="95">
                  <c:v>92463.862400855185</c:v>
                </c:pt>
                <c:pt idx="96">
                  <c:v>92088.998433847766</c:v>
                </c:pt>
                <c:pt idx="97">
                  <c:v>92071.087012281321</c:v>
                </c:pt>
                <c:pt idx="98">
                  <c:v>91664.378563414037</c:v>
                </c:pt>
                <c:pt idx="99">
                  <c:v>91429.603533402216</c:v>
                </c:pt>
                <c:pt idx="100">
                  <c:v>90989.239203040139</c:v>
                </c:pt>
                <c:pt idx="101">
                  <c:v>90867.87897839582</c:v>
                </c:pt>
                <c:pt idx="102">
                  <c:v>90437.708747955156</c:v>
                </c:pt>
                <c:pt idx="103">
                  <c:v>90518.249199420185</c:v>
                </c:pt>
                <c:pt idx="104">
                  <c:v>90258.936313633385</c:v>
                </c:pt>
                <c:pt idx="105">
                  <c:v>89829.83426820788</c:v>
                </c:pt>
                <c:pt idx="106">
                  <c:v>89446.192146476227</c:v>
                </c:pt>
                <c:pt idx="107">
                  <c:v>89296.662051138279</c:v>
                </c:pt>
                <c:pt idx="108">
                  <c:v>88930.660786918554</c:v>
                </c:pt>
                <c:pt idx="109">
                  <c:v>88711.193097516123</c:v>
                </c:pt>
                <c:pt idx="110">
                  <c:v>88199.252299324871</c:v>
                </c:pt>
                <c:pt idx="111">
                  <c:v>88000.165765366357</c:v>
                </c:pt>
                <c:pt idx="112">
                  <c:v>87248.471558029851</c:v>
                </c:pt>
                <c:pt idx="113">
                  <c:v>86716.623549918615</c:v>
                </c:pt>
                <c:pt idx="114">
                  <c:v>86068.482858938252</c:v>
                </c:pt>
                <c:pt idx="115">
                  <c:v>85456.210622081868</c:v>
                </c:pt>
                <c:pt idx="116">
                  <c:v>84272.038703158352</c:v>
                </c:pt>
                <c:pt idx="117">
                  <c:v>83206.631839336507</c:v>
                </c:pt>
                <c:pt idx="118">
                  <c:v>81773.385323335577</c:v>
                </c:pt>
                <c:pt idx="119">
                  <c:v>79887.439488479795</c:v>
                </c:pt>
                <c:pt idx="120">
                  <c:v>78138.672823393121</c:v>
                </c:pt>
                <c:pt idx="121">
                  <c:v>75116.537630179519</c:v>
                </c:pt>
                <c:pt idx="122">
                  <c:v>71569.622545844439</c:v>
                </c:pt>
                <c:pt idx="123">
                  <c:v>67093.587094033515</c:v>
                </c:pt>
                <c:pt idx="124">
                  <c:v>61686.598831364085</c:v>
                </c:pt>
                <c:pt idx="125">
                  <c:v>54494.064773362181</c:v>
                </c:pt>
                <c:pt idx="126">
                  <c:v>44132.280147101592</c:v>
                </c:pt>
                <c:pt idx="127">
                  <c:v>29128.349792473036</c:v>
                </c:pt>
                <c:pt idx="128">
                  <c:v>11482.308540395166</c:v>
                </c:pt>
                <c:pt idx="129">
                  <c:v>-12575.941011758383</c:v>
                </c:pt>
                <c:pt idx="130">
                  <c:v>-45610.635380204505</c:v>
                </c:pt>
                <c:pt idx="131">
                  <c:v>-82511.831077726878</c:v>
                </c:pt>
                <c:pt idx="132">
                  <c:v>-127440.65705190126</c:v>
                </c:pt>
                <c:pt idx="133">
                  <c:v>-170002.3727990656</c:v>
                </c:pt>
                <c:pt idx="134">
                  <c:v>-208302.46830962668</c:v>
                </c:pt>
                <c:pt idx="135">
                  <c:v>-243567.95262376257</c:v>
                </c:pt>
                <c:pt idx="136">
                  <c:v>-274429.19524777506</c:v>
                </c:pt>
                <c:pt idx="137">
                  <c:v>-302760.13154486858</c:v>
                </c:pt>
                <c:pt idx="138">
                  <c:v>-327371.08079538</c:v>
                </c:pt>
                <c:pt idx="139">
                  <c:v>-349839.57829997397</c:v>
                </c:pt>
                <c:pt idx="140">
                  <c:v>-370240.76291250222</c:v>
                </c:pt>
                <c:pt idx="141">
                  <c:v>-387392.16423222091</c:v>
                </c:pt>
                <c:pt idx="142">
                  <c:v>-401735.73656155448</c:v>
                </c:pt>
                <c:pt idx="143">
                  <c:v>-413625.79355800757</c:v>
                </c:pt>
                <c:pt idx="144">
                  <c:v>-421789.74866769975</c:v>
                </c:pt>
                <c:pt idx="145">
                  <c:v>-427098.74532103172</c:v>
                </c:pt>
                <c:pt idx="146">
                  <c:v>-427718.51828994747</c:v>
                </c:pt>
                <c:pt idx="147">
                  <c:v>-421661.97376690217</c:v>
                </c:pt>
                <c:pt idx="148">
                  <c:v>-408853.00228681328</c:v>
                </c:pt>
                <c:pt idx="149">
                  <c:v>-388229.46425715421</c:v>
                </c:pt>
                <c:pt idx="150">
                  <c:v>-409942.50630831358</c:v>
                </c:pt>
                <c:pt idx="151">
                  <c:v>-422267.86402814975</c:v>
                </c:pt>
                <c:pt idx="152">
                  <c:v>-427750.07416698762</c:v>
                </c:pt>
                <c:pt idx="153">
                  <c:v>-427760.6900882792</c:v>
                </c:pt>
                <c:pt idx="154">
                  <c:v>-423598.05259276804</c:v>
                </c:pt>
                <c:pt idx="155">
                  <c:v>-415361.45256770542</c:v>
                </c:pt>
                <c:pt idx="156">
                  <c:v>-404197.61888878111</c:v>
                </c:pt>
                <c:pt idx="157">
                  <c:v>-391141.59864201897</c:v>
                </c:pt>
                <c:pt idx="158">
                  <c:v>-375781.30128312216</c:v>
                </c:pt>
                <c:pt idx="159">
                  <c:v>-358153.58091803925</c:v>
                </c:pt>
                <c:pt idx="160">
                  <c:v>-339314.24806153658</c:v>
                </c:pt>
                <c:pt idx="161">
                  <c:v>-319720.69877438591</c:v>
                </c:pt>
                <c:pt idx="162">
                  <c:v>-299089.60527661181</c:v>
                </c:pt>
                <c:pt idx="163">
                  <c:v>-278520.94723799615</c:v>
                </c:pt>
                <c:pt idx="164">
                  <c:v>-258256.33899202364</c:v>
                </c:pt>
                <c:pt idx="165">
                  <c:v>-238506.62058424964</c:v>
                </c:pt>
                <c:pt idx="166">
                  <c:v>-219332.15919932426</c:v>
                </c:pt>
                <c:pt idx="167">
                  <c:v>-201485.7780294914</c:v>
                </c:pt>
                <c:pt idx="168">
                  <c:v>-185740.22313401607</c:v>
                </c:pt>
                <c:pt idx="169">
                  <c:v>-170607.86342058313</c:v>
                </c:pt>
                <c:pt idx="170">
                  <c:v>-158252.20755705278</c:v>
                </c:pt>
                <c:pt idx="171">
                  <c:v>-146714.50243038681</c:v>
                </c:pt>
                <c:pt idx="172">
                  <c:v>-137125.20456653897</c:v>
                </c:pt>
                <c:pt idx="173">
                  <c:v>-127634.13052584727</c:v>
                </c:pt>
                <c:pt idx="174">
                  <c:v>-119895.95253915212</c:v>
                </c:pt>
                <c:pt idx="175">
                  <c:v>-114068.98068340872</c:v>
                </c:pt>
                <c:pt idx="176">
                  <c:v>-107433.45462597971</c:v>
                </c:pt>
                <c:pt idx="177">
                  <c:v>-103466.14526190788</c:v>
                </c:pt>
                <c:pt idx="178">
                  <c:v>-99701.397210799289</c:v>
                </c:pt>
                <c:pt idx="179">
                  <c:v>-95610.258332783429</c:v>
                </c:pt>
                <c:pt idx="180">
                  <c:v>-92300.51944929178</c:v>
                </c:pt>
                <c:pt idx="181">
                  <c:v>-89996.521332863224</c:v>
                </c:pt>
                <c:pt idx="182">
                  <c:v>-88003.857696663414</c:v>
                </c:pt>
                <c:pt idx="183">
                  <c:v>-85862.331096917143</c:v>
                </c:pt>
                <c:pt idx="184">
                  <c:v>-84068.600419447015</c:v>
                </c:pt>
                <c:pt idx="185">
                  <c:v>-82666.26222645618</c:v>
                </c:pt>
                <c:pt idx="186">
                  <c:v>-81686.259257847923</c:v>
                </c:pt>
                <c:pt idx="187">
                  <c:v>-80419.735949133363</c:v>
                </c:pt>
                <c:pt idx="188">
                  <c:v>-80066.4182196568</c:v>
                </c:pt>
                <c:pt idx="189">
                  <c:v>-79348.247567378698</c:v>
                </c:pt>
                <c:pt idx="190">
                  <c:v>-78165.046159373276</c:v>
                </c:pt>
                <c:pt idx="191">
                  <c:v>-77919.876780690945</c:v>
                </c:pt>
                <c:pt idx="192">
                  <c:v>-76985.824364972796</c:v>
                </c:pt>
                <c:pt idx="193">
                  <c:v>-77123.98887586307</c:v>
                </c:pt>
                <c:pt idx="194">
                  <c:v>-76496.953591069469</c:v>
                </c:pt>
                <c:pt idx="195">
                  <c:v>-76359.99964017747</c:v>
                </c:pt>
                <c:pt idx="196">
                  <c:v>-75817.640519627734</c:v>
                </c:pt>
                <c:pt idx="197">
                  <c:v>-75631.599221638811</c:v>
                </c:pt>
                <c:pt idx="198">
                  <c:v>-75557.521855781131</c:v>
                </c:pt>
                <c:pt idx="199">
                  <c:v>-74795.68440249066</c:v>
                </c:pt>
                <c:pt idx="200">
                  <c:v>-75232.439189727287</c:v>
                </c:pt>
                <c:pt idx="201">
                  <c:v>-74620.012778115502</c:v>
                </c:pt>
                <c:pt idx="202">
                  <c:v>-74662.248507857526</c:v>
                </c:pt>
                <c:pt idx="203">
                  <c:v>-73985.949874848229</c:v>
                </c:pt>
                <c:pt idx="204">
                  <c:v>-74004.2313434268</c:v>
                </c:pt>
                <c:pt idx="205">
                  <c:v>-73588.69883920718</c:v>
                </c:pt>
                <c:pt idx="206">
                  <c:v>-73131.788152007692</c:v>
                </c:pt>
                <c:pt idx="207">
                  <c:v>-72808.66046385649</c:v>
                </c:pt>
                <c:pt idx="208">
                  <c:v>-72865.09502773959</c:v>
                </c:pt>
                <c:pt idx="209">
                  <c:v>-72293.53488755654</c:v>
                </c:pt>
                <c:pt idx="210">
                  <c:v>-71856.813756575066</c:v>
                </c:pt>
                <c:pt idx="211">
                  <c:v>-71061.572226129458</c:v>
                </c:pt>
                <c:pt idx="212">
                  <c:v>-70650.795783398207</c:v>
                </c:pt>
                <c:pt idx="213">
                  <c:v>-69641.45935577371</c:v>
                </c:pt>
                <c:pt idx="214">
                  <c:v>-68941.82899905942</c:v>
                </c:pt>
                <c:pt idx="215">
                  <c:v>-67804.213454215569</c:v>
                </c:pt>
                <c:pt idx="216">
                  <c:v>-67019.879894887461</c:v>
                </c:pt>
                <c:pt idx="217">
                  <c:v>-65556.760333636747</c:v>
                </c:pt>
                <c:pt idx="218">
                  <c:v>-63761.281817572068</c:v>
                </c:pt>
                <c:pt idx="219">
                  <c:v>-61228.648596713487</c:v>
                </c:pt>
                <c:pt idx="220">
                  <c:v>-58590.124365505777</c:v>
                </c:pt>
                <c:pt idx="221">
                  <c:v>-54845.698673165163</c:v>
                </c:pt>
                <c:pt idx="222">
                  <c:v>-49512.205150548441</c:v>
                </c:pt>
                <c:pt idx="223">
                  <c:v>-42356.558183414229</c:v>
                </c:pt>
                <c:pt idx="224">
                  <c:v>-34231.454378810668</c:v>
                </c:pt>
                <c:pt idx="225">
                  <c:v>-22240.331585988253</c:v>
                </c:pt>
                <c:pt idx="226">
                  <c:v>-8078.0652658237768</c:v>
                </c:pt>
                <c:pt idx="227">
                  <c:v>13616.457556967011</c:v>
                </c:pt>
                <c:pt idx="228">
                  <c:v>38247.949197698246</c:v>
                </c:pt>
                <c:pt idx="229">
                  <c:v>69824.09118548788</c:v>
                </c:pt>
                <c:pt idx="230">
                  <c:v>108119.95564956403</c:v>
                </c:pt>
                <c:pt idx="231">
                  <c:v>147434.53252867397</c:v>
                </c:pt>
                <c:pt idx="232">
                  <c:v>184260.45549114063</c:v>
                </c:pt>
                <c:pt idx="233">
                  <c:v>219702.80534571447</c:v>
                </c:pt>
                <c:pt idx="234">
                  <c:v>250599.76515977731</c:v>
                </c:pt>
                <c:pt idx="235">
                  <c:v>279560.38515316672</c:v>
                </c:pt>
                <c:pt idx="236">
                  <c:v>305200.87594445579</c:v>
                </c:pt>
                <c:pt idx="237">
                  <c:v>329135.90169344505</c:v>
                </c:pt>
                <c:pt idx="238">
                  <c:v>350944.83595672413</c:v>
                </c:pt>
                <c:pt idx="239">
                  <c:v>370219.18980506173</c:v>
                </c:pt>
                <c:pt idx="240">
                  <c:v>386646.08551630098</c:v>
                </c:pt>
                <c:pt idx="241">
                  <c:v>400740.55153172277</c:v>
                </c:pt>
                <c:pt idx="242">
                  <c:v>412697.9790003997</c:v>
                </c:pt>
                <c:pt idx="243">
                  <c:v>421121.95213192946</c:v>
                </c:pt>
                <c:pt idx="244">
                  <c:v>425807.89751252014</c:v>
                </c:pt>
                <c:pt idx="245">
                  <c:v>426389.54004200659</c:v>
                </c:pt>
                <c:pt idx="246">
                  <c:v>421077.38494904729</c:v>
                </c:pt>
                <c:pt idx="247">
                  <c:v>408725.66439453966</c:v>
                </c:pt>
                <c:pt idx="248">
                  <c:v>387027.286414509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B99-4317-9351-C1C2B1B8E9D4}"/>
            </c:ext>
          </c:extLst>
        </c:ser>
        <c:ser>
          <c:idx val="4"/>
          <c:order val="4"/>
          <c:tx>
            <c:v>Fe2O3 Sample #4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'#4'!$G$9:$G$257</c:f>
              <c:numCache>
                <c:formatCode>General</c:formatCode>
                <c:ptCount val="249"/>
                <c:pt idx="0">
                  <c:v>-31.791447514908967</c:v>
                </c:pt>
                <c:pt idx="1">
                  <c:v>84.536345408545245</c:v>
                </c:pt>
                <c:pt idx="2">
                  <c:v>86.703943887144561</c:v>
                </c:pt>
                <c:pt idx="3">
                  <c:v>83.091281337208699</c:v>
                </c:pt>
                <c:pt idx="4">
                  <c:v>118.49539614524056</c:v>
                </c:pt>
                <c:pt idx="5">
                  <c:v>156.06710468868437</c:v>
                </c:pt>
                <c:pt idx="6">
                  <c:v>215.3147980181173</c:v>
                </c:pt>
                <c:pt idx="7">
                  <c:v>270.94983828398824</c:v>
                </c:pt>
                <c:pt idx="8">
                  <c:v>328.75248651483241</c:v>
                </c:pt>
                <c:pt idx="9">
                  <c:v>460.25345455891863</c:v>
                </c:pt>
                <c:pt idx="10">
                  <c:v>572.24603629561432</c:v>
                </c:pt>
                <c:pt idx="11">
                  <c:v>695.7991495757534</c:v>
                </c:pt>
                <c:pt idx="12">
                  <c:v>869.92962393235734</c:v>
                </c:pt>
                <c:pt idx="13">
                  <c:v>1073.6838809206604</c:v>
                </c:pt>
                <c:pt idx="14">
                  <c:v>1326.570420684533</c:v>
                </c:pt>
                <c:pt idx="15">
                  <c:v>1616.3060586935883</c:v>
                </c:pt>
                <c:pt idx="16">
                  <c:v>2007.196418855586</c:v>
                </c:pt>
                <c:pt idx="17">
                  <c:v>2463.8371397167643</c:v>
                </c:pt>
                <c:pt idx="18">
                  <c:v>3046.9211304598825</c:v>
                </c:pt>
                <c:pt idx="19">
                  <c:v>3744.1655101185124</c:v>
                </c:pt>
                <c:pt idx="20">
                  <c:v>4629.2683234010647</c:v>
                </c:pt>
                <c:pt idx="21">
                  <c:v>5694.2816586253493</c:v>
                </c:pt>
                <c:pt idx="22">
                  <c:v>7021.5747133240675</c:v>
                </c:pt>
                <c:pt idx="23">
                  <c:v>8634.2679814016501</c:v>
                </c:pt>
                <c:pt idx="24">
                  <c:v>10645.799976669407</c:v>
                </c:pt>
                <c:pt idx="25">
                  <c:v>13095.908436154477</c:v>
                </c:pt>
                <c:pt idx="26">
                  <c:v>16122.599001638693</c:v>
                </c:pt>
                <c:pt idx="27">
                  <c:v>19825.580292445782</c:v>
                </c:pt>
                <c:pt idx="28">
                  <c:v>24407.884386895847</c:v>
                </c:pt>
                <c:pt idx="29">
                  <c:v>30068.928523636096</c:v>
                </c:pt>
                <c:pt idx="30">
                  <c:v>37042.816373994952</c:v>
                </c:pt>
                <c:pt idx="31">
                  <c:v>45634.454868056891</c:v>
                </c:pt>
                <c:pt idx="32">
                  <c:v>56192.103512606249</c:v>
                </c:pt>
                <c:pt idx="33">
                  <c:v>69242.493139619968</c:v>
                </c:pt>
                <c:pt idx="34">
                  <c:v>85230.701946277753</c:v>
                </c:pt>
                <c:pt idx="35">
                  <c:v>104981.8604975272</c:v>
                </c:pt>
                <c:pt idx="36">
                  <c:v>129290.76239009868</c:v>
                </c:pt>
                <c:pt idx="37">
                  <c:v>159285.98558349101</c:v>
                </c:pt>
                <c:pt idx="38">
                  <c:v>196112.77248452173</c:v>
                </c:pt>
                <c:pt idx="39">
                  <c:v>241521.06491452572</c:v>
                </c:pt>
                <c:pt idx="40">
                  <c:v>297471.13809359807</c:v>
                </c:pt>
                <c:pt idx="41">
                  <c:v>366374.03787045262</c:v>
                </c:pt>
                <c:pt idx="42">
                  <c:v>451147.35877925385</c:v>
                </c:pt>
                <c:pt idx="43">
                  <c:v>555612.60683882213</c:v>
                </c:pt>
                <c:pt idx="44">
                  <c:v>684279.83913464309</c:v>
                </c:pt>
                <c:pt idx="45">
                  <c:v>842716.87531038467</c:v>
                </c:pt>
                <c:pt idx="46">
                  <c:v>1037794.2469724978</c:v>
                </c:pt>
                <c:pt idx="47">
                  <c:v>1278083.3958974583</c:v>
                </c:pt>
                <c:pt idx="48">
                  <c:v>1573995.9928912346</c:v>
                </c:pt>
                <c:pt idx="49">
                  <c:v>1938452.4973475975</c:v>
                </c:pt>
                <c:pt idx="50">
                  <c:v>2387291.2740439926</c:v>
                </c:pt>
                <c:pt idx="51">
                  <c:v>1938459.6468860565</c:v>
                </c:pt>
                <c:pt idx="52">
                  <c:v>1574029.9531989158</c:v>
                </c:pt>
                <c:pt idx="53">
                  <c:v>1278077.6063255577</c:v>
                </c:pt>
                <c:pt idx="54">
                  <c:v>1037805.0489925689</c:v>
                </c:pt>
                <c:pt idx="55">
                  <c:v>842746.48372509063</c:v>
                </c:pt>
                <c:pt idx="56">
                  <c:v>684302.91970988631</c:v>
                </c:pt>
                <c:pt idx="57">
                  <c:v>555614.06394584547</c:v>
                </c:pt>
                <c:pt idx="58">
                  <c:v>451167.60285282659</c:v>
                </c:pt>
                <c:pt idx="59">
                  <c:v>366327.06074003316</c:v>
                </c:pt>
                <c:pt idx="60">
                  <c:v>297463.1822892534</c:v>
                </c:pt>
                <c:pt idx="61">
                  <c:v>241531.89607672894</c:v>
                </c:pt>
                <c:pt idx="62">
                  <c:v>196102.66987582936</c:v>
                </c:pt>
                <c:pt idx="63">
                  <c:v>159215.1798962233</c:v>
                </c:pt>
                <c:pt idx="64">
                  <c:v>129265.47186920421</c:v>
                </c:pt>
                <c:pt idx="65">
                  <c:v>104967.41570990632</c:v>
                </c:pt>
                <c:pt idx="66">
                  <c:v>85229.978249789012</c:v>
                </c:pt>
                <c:pt idx="67">
                  <c:v>69220.818672653841</c:v>
                </c:pt>
                <c:pt idx="68">
                  <c:v>56192.105941117945</c:v>
                </c:pt>
                <c:pt idx="69">
                  <c:v>45630.119974663663</c:v>
                </c:pt>
                <c:pt idx="70">
                  <c:v>37040.648927298382</c:v>
                </c:pt>
                <c:pt idx="71">
                  <c:v>30084.1030790242</c:v>
                </c:pt>
                <c:pt idx="72">
                  <c:v>24404.271975734813</c:v>
                </c:pt>
                <c:pt idx="73">
                  <c:v>19803.904004095846</c:v>
                </c:pt>
                <c:pt idx="74">
                  <c:v>16092.975408734501</c:v>
                </c:pt>
                <c:pt idx="75">
                  <c:v>13051.834591478184</c:v>
                </c:pt>
                <c:pt idx="76">
                  <c:v>10622.678723855011</c:v>
                </c:pt>
                <c:pt idx="77">
                  <c:v>8621.2623905300716</c:v>
                </c:pt>
                <c:pt idx="78">
                  <c:v>6999.8990321020401</c:v>
                </c:pt>
                <c:pt idx="79">
                  <c:v>5655.9876718067344</c:v>
                </c:pt>
                <c:pt idx="80">
                  <c:v>4582.3037908860742</c:v>
                </c:pt>
                <c:pt idx="81">
                  <c:v>3721.7668913183343</c:v>
                </c:pt>
                <c:pt idx="82">
                  <c:v>3003.5693126698839</c:v>
                </c:pt>
                <c:pt idx="83">
                  <c:v>2447.9414681343701</c:v>
                </c:pt>
                <c:pt idx="84">
                  <c:v>1974.6824416766044</c:v>
                </c:pt>
                <c:pt idx="85">
                  <c:v>1601.1328693434011</c:v>
                </c:pt>
                <c:pt idx="86">
                  <c:v>1281.0508526339554</c:v>
                </c:pt>
                <c:pt idx="87">
                  <c:v>1034.6671083058809</c:v>
                </c:pt>
                <c:pt idx="88">
                  <c:v>833.08041185068623</c:v>
                </c:pt>
                <c:pt idx="89">
                  <c:v>658.950013385067</c:v>
                </c:pt>
                <c:pt idx="90">
                  <c:v>628.60361571193448</c:v>
                </c:pt>
                <c:pt idx="91">
                  <c:v>414.73386753559339</c:v>
                </c:pt>
                <c:pt idx="92">
                  <c:v>420.5141617664367</c:v>
                </c:pt>
                <c:pt idx="93">
                  <c:v>268.05971014131433</c:v>
                </c:pt>
                <c:pt idx="94">
                  <c:v>270.94982879761437</c:v>
                </c:pt>
                <c:pt idx="95">
                  <c:v>267.33717099086584</c:v>
                </c:pt>
                <c:pt idx="96">
                  <c:v>213.147199539518</c:v>
                </c:pt>
                <c:pt idx="97">
                  <c:v>168.3501611530159</c:v>
                </c:pt>
                <c:pt idx="98">
                  <c:v>140.1713856744162</c:v>
                </c:pt>
                <c:pt idx="99">
                  <c:v>137.28124804536839</c:v>
                </c:pt>
                <c:pt idx="100">
                  <c:v>-132.22352142409596</c:v>
                </c:pt>
                <c:pt idx="101">
                  <c:v>-127.16579005963619</c:v>
                </c:pt>
                <c:pt idx="102">
                  <c:v>-127.88831972371081</c:v>
                </c:pt>
                <c:pt idx="103">
                  <c:v>-127.16579005963619</c:v>
                </c:pt>
                <c:pt idx="104">
                  <c:v>-165.46003301034196</c:v>
                </c:pt>
                <c:pt idx="105">
                  <c:v>-206.64441359009555</c:v>
                </c:pt>
                <c:pt idx="106">
                  <c:v>-354.04112910757084</c:v>
                </c:pt>
                <c:pt idx="107">
                  <c:v>-356.20872758616935</c:v>
                </c:pt>
                <c:pt idx="108">
                  <c:v>-492.04489258745338</c:v>
                </c:pt>
                <c:pt idx="109">
                  <c:v>-550.57007048237301</c:v>
                </c:pt>
                <c:pt idx="110">
                  <c:v>-742.04131369502363</c:v>
                </c:pt>
                <c:pt idx="111">
                  <c:v>-892.32812889604793</c:v>
                </c:pt>
                <c:pt idx="112">
                  <c:v>-1098.9725424861465</c:v>
                </c:pt>
                <c:pt idx="113">
                  <c:v>-1350.4140039491172</c:v>
                </c:pt>
                <c:pt idx="114">
                  <c:v>-1650.2651521189707</c:v>
                </c:pt>
                <c:pt idx="115">
                  <c:v>-2025.9823229307729</c:v>
                </c:pt>
                <c:pt idx="116">
                  <c:v>-2493.4610361849477</c:v>
                </c:pt>
                <c:pt idx="117">
                  <c:v>-3070.7648655064459</c:v>
                </c:pt>
                <c:pt idx="118">
                  <c:v>-3771.6216563261105</c:v>
                </c:pt>
                <c:pt idx="119">
                  <c:v>-4633.603368576285</c:v>
                </c:pt>
                <c:pt idx="120">
                  <c:v>-5705.8422850325314</c:v>
                </c:pt>
                <c:pt idx="121">
                  <c:v>-7015.0720696702492</c:v>
                </c:pt>
                <c:pt idx="122">
                  <c:v>-8672.562271784278</c:v>
                </c:pt>
                <c:pt idx="123">
                  <c:v>-10668.198140123648</c:v>
                </c:pt>
                <c:pt idx="124">
                  <c:v>-13122.642707257792</c:v>
                </c:pt>
                <c:pt idx="125">
                  <c:v>-16153.66816613523</c:v>
                </c:pt>
                <c:pt idx="126">
                  <c:v>-19892.052907704201</c:v>
                </c:pt>
                <c:pt idx="127">
                  <c:v>-24479.414984907642</c:v>
                </c:pt>
                <c:pt idx="128">
                  <c:v>-30139.016585695212</c:v>
                </c:pt>
                <c:pt idx="129">
                  <c:v>-37092.670076528855</c:v>
                </c:pt>
                <c:pt idx="130">
                  <c:v>-45664.803978832933</c:v>
                </c:pt>
                <c:pt idx="131">
                  <c:v>-56218.838997965409</c:v>
                </c:pt>
                <c:pt idx="132">
                  <c:v>-69277.177143789319</c:v>
                </c:pt>
                <c:pt idx="133">
                  <c:v>-85287.78654241249</c:v>
                </c:pt>
                <c:pt idx="134">
                  <c:v>-105014.37826925544</c:v>
                </c:pt>
                <c:pt idx="135">
                  <c:v>-129320.38537587506</c:v>
                </c:pt>
                <c:pt idx="136">
                  <c:v>-159301.16378164728</c:v>
                </c:pt>
                <c:pt idx="137">
                  <c:v>-196118.55234237955</c:v>
                </c:pt>
                <c:pt idx="138">
                  <c:v>-241579.60176066007</c:v>
                </c:pt>
                <c:pt idx="139">
                  <c:v>-297496.41404342296</c:v>
                </c:pt>
                <c:pt idx="140">
                  <c:v>-366316.95813134155</c:v>
                </c:pt>
                <c:pt idx="141">
                  <c:v>-451192.17939127976</c:v>
                </c:pt>
                <c:pt idx="142">
                  <c:v>-555572.15754786611</c:v>
                </c:pt>
                <c:pt idx="143">
                  <c:v>-684292.07883363566</c:v>
                </c:pt>
                <c:pt idx="144">
                  <c:v>-842654.00599936838</c:v>
                </c:pt>
                <c:pt idx="145">
                  <c:v>-1037787.7191330427</c:v>
                </c:pt>
                <c:pt idx="146">
                  <c:v>-1278081.1810947873</c:v>
                </c:pt>
                <c:pt idx="147">
                  <c:v>-1574029.1760751703</c:v>
                </c:pt>
                <c:pt idx="148">
                  <c:v>-1938458.17035094</c:v>
                </c:pt>
                <c:pt idx="149">
                  <c:v>-2387273.2447730955</c:v>
                </c:pt>
                <c:pt idx="150">
                  <c:v>-1938473.4019763533</c:v>
                </c:pt>
                <c:pt idx="151">
                  <c:v>-1574036.4810383786</c:v>
                </c:pt>
                <c:pt idx="152">
                  <c:v>-1278072.5550212115</c:v>
                </c:pt>
                <c:pt idx="153">
                  <c:v>-1037799.9588320316</c:v>
                </c:pt>
                <c:pt idx="154">
                  <c:v>-842686.52862812416</c:v>
                </c:pt>
                <c:pt idx="155">
                  <c:v>-684251.62954267894</c:v>
                </c:pt>
                <c:pt idx="156">
                  <c:v>-555609.73148096353</c:v>
                </c:pt>
                <c:pt idx="157">
                  <c:v>-451167.60285282659</c:v>
                </c:pt>
                <c:pt idx="158">
                  <c:v>-366361.02104771516</c:v>
                </c:pt>
                <c:pt idx="159">
                  <c:v>-297528.20811866329</c:v>
                </c:pt>
                <c:pt idx="160">
                  <c:v>-241596.20306667453</c:v>
                </c:pt>
                <c:pt idx="161">
                  <c:v>-196153.95032899009</c:v>
                </c:pt>
                <c:pt idx="162">
                  <c:v>-159278.04920723959</c:v>
                </c:pt>
                <c:pt idx="163">
                  <c:v>-129301.59840932561</c:v>
                </c:pt>
                <c:pt idx="164">
                  <c:v>-105058.45089967565</c:v>
                </c:pt>
                <c:pt idx="165">
                  <c:v>-85304.397562474362</c:v>
                </c:pt>
                <c:pt idx="166">
                  <c:v>-69267.78123200305</c:v>
                </c:pt>
                <c:pt idx="167">
                  <c:v>-56246.295751300917</c:v>
                </c:pt>
                <c:pt idx="168">
                  <c:v>-45698.761858002472</c:v>
                </c:pt>
                <c:pt idx="169">
                  <c:v>-37107.123363940533</c:v>
                </c:pt>
                <c:pt idx="170">
                  <c:v>-30138.292889207169</c:v>
                </c:pt>
                <c:pt idx="171">
                  <c:v>-24478.691288419606</c:v>
                </c:pt>
                <c:pt idx="172">
                  <c:v>-19891.33042547201</c:v>
                </c:pt>
                <c:pt idx="173">
                  <c:v>-16150.777630078504</c:v>
                </c:pt>
                <c:pt idx="174">
                  <c:v>-13100.243936675584</c:v>
                </c:pt>
                <c:pt idx="175">
                  <c:v>-10658.805871104927</c:v>
                </c:pt>
                <c:pt idx="176">
                  <c:v>-8674.0075398126028</c:v>
                </c:pt>
                <c:pt idx="177">
                  <c:v>-7039.6376798210949</c:v>
                </c:pt>
                <c:pt idx="178">
                  <c:v>-5724.6280373257323</c:v>
                </c:pt>
                <c:pt idx="179">
                  <c:v>-4657.4471036228488</c:v>
                </c:pt>
                <c:pt idx="180">
                  <c:v>-3789.6849263871118</c:v>
                </c:pt>
                <c:pt idx="181">
                  <c:v>-3077.2676609422438</c:v>
                </c:pt>
                <c:pt idx="182">
                  <c:v>-2515.137020970933</c:v>
                </c:pt>
                <c:pt idx="183">
                  <c:v>-2041.1553604989811</c:v>
                </c:pt>
                <c:pt idx="184">
                  <c:v>-1679.1664904639497</c:v>
                </c:pt>
                <c:pt idx="185">
                  <c:v>-1362.6969608065276</c:v>
                </c:pt>
                <c:pt idx="186">
                  <c:v>-1104.7528177442391</c:v>
                </c:pt>
                <c:pt idx="187">
                  <c:v>-902.44360111134699</c:v>
                </c:pt>
                <c:pt idx="188">
                  <c:v>-756.49194492201923</c:v>
                </c:pt>
                <c:pt idx="189">
                  <c:v>-624.99093893243742</c:v>
                </c:pt>
                <c:pt idx="190">
                  <c:v>-507.94064006084324</c:v>
                </c:pt>
                <c:pt idx="191">
                  <c:v>-408.23107209979622</c:v>
                </c:pt>
                <c:pt idx="192">
                  <c:v>-332.365125348834</c:v>
                </c:pt>
                <c:pt idx="193">
                  <c:v>-304.90888427749621</c:v>
                </c:pt>
                <c:pt idx="194">
                  <c:v>-240.60345009722965</c:v>
                </c:pt>
                <c:pt idx="195">
                  <c:v>-186.41348813225648</c:v>
                </c:pt>
                <c:pt idx="196">
                  <c:v>-169.07270030346439</c:v>
                </c:pt>
                <c:pt idx="197">
                  <c:v>-169.07270030346439</c:v>
                </c:pt>
                <c:pt idx="198">
                  <c:v>-133.66859023861986</c:v>
                </c:pt>
                <c:pt idx="199">
                  <c:v>55.635033151090738</c:v>
                </c:pt>
                <c:pt idx="200">
                  <c:v>52.744900265229873</c:v>
                </c:pt>
                <c:pt idx="201">
                  <c:v>90.316615923454322</c:v>
                </c:pt>
                <c:pt idx="202">
                  <c:v>127.88832446689814</c:v>
                </c:pt>
                <c:pt idx="203">
                  <c:v>165.46003301034196</c:v>
                </c:pt>
                <c:pt idx="204">
                  <c:v>220.37253412576445</c:v>
                </c:pt>
                <c:pt idx="205">
                  <c:v>265.89210217634195</c:v>
                </c:pt>
                <c:pt idx="206">
                  <c:v>395.94803935139902</c:v>
                </c:pt>
                <c:pt idx="207">
                  <c:v>424.12681957318529</c:v>
                </c:pt>
                <c:pt idx="208">
                  <c:v>585.25164613995548</c:v>
                </c:pt>
                <c:pt idx="209">
                  <c:v>713.13993740454544</c:v>
                </c:pt>
                <c:pt idx="210">
                  <c:v>886.54785363795543</c:v>
                </c:pt>
                <c:pt idx="211">
                  <c:v>1091.7471889271524</c:v>
                </c:pt>
                <c:pt idx="212">
                  <c:v>1338.1308953097282</c:v>
                </c:pt>
                <c:pt idx="213">
                  <c:v>1643.7623566831726</c:v>
                </c:pt>
                <c:pt idx="214">
                  <c:v>2013.6991384003943</c:v>
                </c:pt>
                <c:pt idx="215">
                  <c:v>2479.0104049579486</c:v>
                </c:pt>
                <c:pt idx="216">
                  <c:v>3062.0944715920568</c:v>
                </c:pt>
                <c:pt idx="217">
                  <c:v>3763.6738964258984</c:v>
                </c:pt>
                <c:pt idx="218">
                  <c:v>4641.5515838224337</c:v>
                </c:pt>
                <c:pt idx="219">
                  <c:v>5721.7381083969121</c:v>
                </c:pt>
                <c:pt idx="220">
                  <c:v>7041.0832514134408</c:v>
                </c:pt>
                <c:pt idx="221">
                  <c:v>8650.8865905622279</c:v>
                </c:pt>
                <c:pt idx="222">
                  <c:v>10663.863246730425</c:v>
                </c:pt>
                <c:pt idx="223">
                  <c:v>13116.140367167915</c:v>
                </c:pt>
                <c:pt idx="224">
                  <c:v>16139.217914363211</c:v>
                </c:pt>
                <c:pt idx="225">
                  <c:v>19845.08852697118</c:v>
                </c:pt>
                <c:pt idx="226">
                  <c:v>24425.225174724674</c:v>
                </c:pt>
                <c:pt idx="227">
                  <c:v>30092.772865810646</c:v>
                </c:pt>
                <c:pt idx="228">
                  <c:v>37062.324608520437</c:v>
                </c:pt>
                <c:pt idx="229">
                  <c:v>45648.185673236374</c:v>
                </c:pt>
                <c:pt idx="230">
                  <c:v>56213.782836595841</c:v>
                </c:pt>
                <c:pt idx="231">
                  <c:v>69243.940532596127</c:v>
                </c:pt>
                <c:pt idx="232">
                  <c:v>85243.709054968582</c:v>
                </c:pt>
                <c:pt idx="233">
                  <c:v>105003.54225002849</c:v>
                </c:pt>
                <c:pt idx="234">
                  <c:v>129290.76239009868</c:v>
                </c:pt>
                <c:pt idx="235">
                  <c:v>159256.3674547383</c:v>
                </c:pt>
                <c:pt idx="236">
                  <c:v>196099.03682231926</c:v>
                </c:pt>
                <c:pt idx="237">
                  <c:v>241517.46100315545</c:v>
                </c:pt>
                <c:pt idx="238">
                  <c:v>297471.13809359807</c:v>
                </c:pt>
                <c:pt idx="239">
                  <c:v>366340.07756277139</c:v>
                </c:pt>
                <c:pt idx="240">
                  <c:v>451194.33590967406</c:v>
                </c:pt>
                <c:pt idx="241">
                  <c:v>555628.53787560691</c:v>
                </c:pt>
                <c:pt idx="242">
                  <c:v>684298.6066730984</c:v>
                </c:pt>
                <c:pt idx="243">
                  <c:v>842748.62081538711</c:v>
                </c:pt>
                <c:pt idx="244">
                  <c:v>1037821.7182969074</c:v>
                </c:pt>
                <c:pt idx="245">
                  <c:v>1278131.0724392526</c:v>
                </c:pt>
                <c:pt idx="246">
                  <c:v>1574027.0778410572</c:v>
                </c:pt>
                <c:pt idx="247">
                  <c:v>1938459.7245984313</c:v>
                </c:pt>
                <c:pt idx="248">
                  <c:v>2387336.8912078575</c:v>
                </c:pt>
              </c:numCache>
            </c:numRef>
          </c:xVal>
          <c:yVal>
            <c:numRef>
              <c:f>'#4'!$H$9:$H$257</c:f>
              <c:numCache>
                <c:formatCode>General</c:formatCode>
                <c:ptCount val="249"/>
                <c:pt idx="0">
                  <c:v>7461.4442180283104</c:v>
                </c:pt>
                <c:pt idx="1">
                  <c:v>7643.5261179314994</c:v>
                </c:pt>
                <c:pt idx="2">
                  <c:v>7391.7612170210623</c:v>
                </c:pt>
                <c:pt idx="3">
                  <c:v>7709.6107917762483</c:v>
                </c:pt>
                <c:pt idx="4">
                  <c:v>7790.5465517534994</c:v>
                </c:pt>
                <c:pt idx="5">
                  <c:v>7841.9328729031868</c:v>
                </c:pt>
                <c:pt idx="6">
                  <c:v>7285.4551110312495</c:v>
                </c:pt>
                <c:pt idx="7">
                  <c:v>7716.7145271315612</c:v>
                </c:pt>
                <c:pt idx="8">
                  <c:v>7740.8149408369991</c:v>
                </c:pt>
                <c:pt idx="9">
                  <c:v>7858.0044606163747</c:v>
                </c:pt>
                <c:pt idx="10">
                  <c:v>8093.5608178259981</c:v>
                </c:pt>
                <c:pt idx="11">
                  <c:v>8094.1695947361859</c:v>
                </c:pt>
                <c:pt idx="12">
                  <c:v>8411.9296410634361</c:v>
                </c:pt>
                <c:pt idx="13">
                  <c:v>8368.4330102683125</c:v>
                </c:pt>
                <c:pt idx="14">
                  <c:v>8853.7603005003111</c:v>
                </c:pt>
                <c:pt idx="15">
                  <c:v>9352.4700427119988</c:v>
                </c:pt>
                <c:pt idx="16">
                  <c:v>9424.4846017763739</c:v>
                </c:pt>
                <c:pt idx="17">
                  <c:v>9851.0924132106848</c:v>
                </c:pt>
                <c:pt idx="18">
                  <c:v>10303.199131935</c:v>
                </c:pt>
                <c:pt idx="19">
                  <c:v>11109.465148020623</c:v>
                </c:pt>
                <c:pt idx="20">
                  <c:v>11821.662489659624</c:v>
                </c:pt>
                <c:pt idx="21">
                  <c:v>12462.451302174746</c:v>
                </c:pt>
                <c:pt idx="22">
                  <c:v>13947.72715485431</c:v>
                </c:pt>
                <c:pt idx="23">
                  <c:v>15646.874210163247</c:v>
                </c:pt>
                <c:pt idx="24">
                  <c:v>18268.797075046186</c:v>
                </c:pt>
                <c:pt idx="25">
                  <c:v>21244.230288068618</c:v>
                </c:pt>
                <c:pt idx="26">
                  <c:v>25372.384131816245</c:v>
                </c:pt>
                <c:pt idx="27">
                  <c:v>31028.484977867683</c:v>
                </c:pt>
                <c:pt idx="28">
                  <c:v>38404.496978311123</c:v>
                </c:pt>
                <c:pt idx="29">
                  <c:v>47413.277898202556</c:v>
                </c:pt>
                <c:pt idx="30">
                  <c:v>59131.239019205299</c:v>
                </c:pt>
                <c:pt idx="31">
                  <c:v>73892.289998026245</c:v>
                </c:pt>
                <c:pt idx="32">
                  <c:v>92312.149251579976</c:v>
                </c:pt>
                <c:pt idx="33">
                  <c:v>111530.78896678184</c:v>
                </c:pt>
                <c:pt idx="34">
                  <c:v>132173.72577149246</c:v>
                </c:pt>
                <c:pt idx="35">
                  <c:v>153706.07056096624</c:v>
                </c:pt>
                <c:pt idx="36">
                  <c:v>173947.62497345809</c:v>
                </c:pt>
                <c:pt idx="37">
                  <c:v>193216.5704064281</c:v>
                </c:pt>
                <c:pt idx="38">
                  <c:v>211732.8501257037</c:v>
                </c:pt>
                <c:pt idx="39">
                  <c:v>228942.40262534996</c:v>
                </c:pt>
                <c:pt idx="40">
                  <c:v>244642.02305553932</c:v>
                </c:pt>
                <c:pt idx="41">
                  <c:v>256926.22223774309</c:v>
                </c:pt>
                <c:pt idx="42">
                  <c:v>266065.26103225182</c:v>
                </c:pt>
                <c:pt idx="43">
                  <c:v>271260.46076930745</c:v>
                </c:pt>
                <c:pt idx="44">
                  <c:v>272999.9788250312</c:v>
                </c:pt>
                <c:pt idx="45">
                  <c:v>270134.6310982593</c:v>
                </c:pt>
                <c:pt idx="46">
                  <c:v>263099.80371695868</c:v>
                </c:pt>
                <c:pt idx="47">
                  <c:v>249202.39237423934</c:v>
                </c:pt>
                <c:pt idx="48">
                  <c:v>228382.08471475687</c:v>
                </c:pt>
                <c:pt idx="49">
                  <c:v>197770.45707384436</c:v>
                </c:pt>
                <c:pt idx="50">
                  <c:v>155212.09648470185</c:v>
                </c:pt>
                <c:pt idx="51">
                  <c:v>197738.81668080122</c:v>
                </c:pt>
                <c:pt idx="52">
                  <c:v>229206.10308842434</c:v>
                </c:pt>
                <c:pt idx="53">
                  <c:v>250949.45083296808</c:v>
                </c:pt>
                <c:pt idx="54">
                  <c:v>265475.42831482121</c:v>
                </c:pt>
                <c:pt idx="55">
                  <c:v>273913.9022794718</c:v>
                </c:pt>
                <c:pt idx="56">
                  <c:v>277468.01161298872</c:v>
                </c:pt>
                <c:pt idx="57">
                  <c:v>276982.85892393993</c:v>
                </c:pt>
                <c:pt idx="58">
                  <c:v>272807.53892477625</c:v>
                </c:pt>
                <c:pt idx="59">
                  <c:v>265592.27314066119</c:v>
                </c:pt>
                <c:pt idx="60">
                  <c:v>254946.63099390556</c:v>
                </c:pt>
                <c:pt idx="61">
                  <c:v>242863.86715406994</c:v>
                </c:pt>
                <c:pt idx="62">
                  <c:v>228579.36981830059</c:v>
                </c:pt>
                <c:pt idx="63">
                  <c:v>214130.94861598997</c:v>
                </c:pt>
                <c:pt idx="64">
                  <c:v>199333.13527414747</c:v>
                </c:pt>
                <c:pt idx="65">
                  <c:v>184657.12482406871</c:v>
                </c:pt>
                <c:pt idx="66">
                  <c:v>171187.87661772812</c:v>
                </c:pt>
                <c:pt idx="67">
                  <c:v>157743.88404763245</c:v>
                </c:pt>
                <c:pt idx="68">
                  <c:v>145655.25542030684</c:v>
                </c:pt>
                <c:pt idx="69">
                  <c:v>134518.79594911248</c:v>
                </c:pt>
                <c:pt idx="70">
                  <c:v>123716.46902490559</c:v>
                </c:pt>
                <c:pt idx="71">
                  <c:v>115963.0297433856</c:v>
                </c:pt>
                <c:pt idx="72">
                  <c:v>108313.31300924624</c:v>
                </c:pt>
                <c:pt idx="73">
                  <c:v>100816.19937666124</c:v>
                </c:pt>
                <c:pt idx="74">
                  <c:v>95762.239269731232</c:v>
                </c:pt>
                <c:pt idx="75">
                  <c:v>90300.543941651224</c:v>
                </c:pt>
                <c:pt idx="76">
                  <c:v>85996.002624442481</c:v>
                </c:pt>
                <c:pt idx="77">
                  <c:v>82460.139388114359</c:v>
                </c:pt>
                <c:pt idx="78">
                  <c:v>78723.557814019368</c:v>
                </c:pt>
                <c:pt idx="79">
                  <c:v>76251.272352352491</c:v>
                </c:pt>
                <c:pt idx="80">
                  <c:v>74267.792538796857</c:v>
                </c:pt>
                <c:pt idx="81">
                  <c:v>72106.924316731238</c:v>
                </c:pt>
                <c:pt idx="82">
                  <c:v>70220.193360214995</c:v>
                </c:pt>
                <c:pt idx="83">
                  <c:v>68797.726251772488</c:v>
                </c:pt>
                <c:pt idx="84">
                  <c:v>68075.633307316239</c:v>
                </c:pt>
                <c:pt idx="85">
                  <c:v>66958.545392409374</c:v>
                </c:pt>
                <c:pt idx="86">
                  <c:v>65652.542178087489</c:v>
                </c:pt>
                <c:pt idx="87">
                  <c:v>65286.120088011237</c:v>
                </c:pt>
                <c:pt idx="88">
                  <c:v>64870.089021891865</c:v>
                </c:pt>
                <c:pt idx="89">
                  <c:v>64224.596128949364</c:v>
                </c:pt>
                <c:pt idx="90">
                  <c:v>64136.371952917485</c:v>
                </c:pt>
                <c:pt idx="91">
                  <c:v>63020.654498084994</c:v>
                </c:pt>
                <c:pt idx="92">
                  <c:v>62776.957858448113</c:v>
                </c:pt>
                <c:pt idx="93">
                  <c:v>62576.551629706868</c:v>
                </c:pt>
                <c:pt idx="94">
                  <c:v>62407.191752305058</c:v>
                </c:pt>
                <c:pt idx="95">
                  <c:v>62179.857206864363</c:v>
                </c:pt>
                <c:pt idx="96">
                  <c:v>62088.960889688307</c:v>
                </c:pt>
                <c:pt idx="97">
                  <c:v>61592.350172471801</c:v>
                </c:pt>
                <c:pt idx="98">
                  <c:v>61243.605362602306</c:v>
                </c:pt>
                <c:pt idx="99">
                  <c:v>61375.220994563555</c:v>
                </c:pt>
                <c:pt idx="100">
                  <c:v>61112.168019513992</c:v>
                </c:pt>
                <c:pt idx="101">
                  <c:v>60790.971607932188</c:v>
                </c:pt>
                <c:pt idx="102">
                  <c:v>60966.148899991553</c:v>
                </c:pt>
                <c:pt idx="103">
                  <c:v>60672.005717715307</c:v>
                </c:pt>
                <c:pt idx="104">
                  <c:v>60253.43822443462</c:v>
                </c:pt>
                <c:pt idx="105">
                  <c:v>60284.945745151919</c:v>
                </c:pt>
                <c:pt idx="106">
                  <c:v>60067.292316585059</c:v>
                </c:pt>
                <c:pt idx="107">
                  <c:v>59537.427249699249</c:v>
                </c:pt>
                <c:pt idx="108">
                  <c:v>59735.737232518113</c:v>
                </c:pt>
                <c:pt idx="109">
                  <c:v>59357.391659852801</c:v>
                </c:pt>
                <c:pt idx="110">
                  <c:v>59155.602019355174</c:v>
                </c:pt>
                <c:pt idx="111">
                  <c:v>59084.421491085122</c:v>
                </c:pt>
                <c:pt idx="112">
                  <c:v>58497.727558644554</c:v>
                </c:pt>
                <c:pt idx="113">
                  <c:v>58338.23805866405</c:v>
                </c:pt>
                <c:pt idx="114">
                  <c:v>57852.548364374052</c:v>
                </c:pt>
                <c:pt idx="115">
                  <c:v>57314.980494389187</c:v>
                </c:pt>
                <c:pt idx="116">
                  <c:v>57043.278341694924</c:v>
                </c:pt>
                <c:pt idx="117">
                  <c:v>56066.185821073741</c:v>
                </c:pt>
                <c:pt idx="118">
                  <c:v>55278.075184101304</c:v>
                </c:pt>
                <c:pt idx="119">
                  <c:v>53721.12867527386</c:v>
                </c:pt>
                <c:pt idx="120">
                  <c:v>52746.173613677995</c:v>
                </c:pt>
                <c:pt idx="121">
                  <c:v>51254.834799745804</c:v>
                </c:pt>
                <c:pt idx="122">
                  <c:v>48800.58174531674</c:v>
                </c:pt>
                <c:pt idx="123">
                  <c:v>46510.666285010491</c:v>
                </c:pt>
                <c:pt idx="124">
                  <c:v>42971.81412965231</c:v>
                </c:pt>
                <c:pt idx="125">
                  <c:v>37396.790014040052</c:v>
                </c:pt>
                <c:pt idx="126">
                  <c:v>30741.665741328554</c:v>
                </c:pt>
                <c:pt idx="127">
                  <c:v>19135.288634857559</c:v>
                </c:pt>
                <c:pt idx="128">
                  <c:v>5659.7258266900053</c:v>
                </c:pt>
                <c:pt idx="129">
                  <c:v>-13165.514814092561</c:v>
                </c:pt>
                <c:pt idx="130">
                  <c:v>-34633.258491258312</c:v>
                </c:pt>
                <c:pt idx="131">
                  <c:v>-60848.261870092865</c:v>
                </c:pt>
                <c:pt idx="132">
                  <c:v>-86727.513401781864</c:v>
                </c:pt>
                <c:pt idx="133">
                  <c:v>-114296.81751874437</c:v>
                </c:pt>
                <c:pt idx="134">
                  <c:v>-139482.05406384499</c:v>
                </c:pt>
                <c:pt idx="135">
                  <c:v>-163715.70277077999</c:v>
                </c:pt>
                <c:pt idx="136">
                  <c:v>-185356.89810017811</c:v>
                </c:pt>
                <c:pt idx="137">
                  <c:v>-206112.09382116681</c:v>
                </c:pt>
                <c:pt idx="138">
                  <c:v>-225366.71155070121</c:v>
                </c:pt>
                <c:pt idx="139">
                  <c:v>-242656.63028648685</c:v>
                </c:pt>
                <c:pt idx="140">
                  <c:v>-256498.21178498244</c:v>
                </c:pt>
                <c:pt idx="141">
                  <c:v>-266558.10245208623</c:v>
                </c:pt>
                <c:pt idx="142">
                  <c:v>-272587.74045036873</c:v>
                </c:pt>
                <c:pt idx="143">
                  <c:v>-274555.67036060494</c:v>
                </c:pt>
                <c:pt idx="144">
                  <c:v>-272295.25885279558</c:v>
                </c:pt>
                <c:pt idx="145">
                  <c:v>-264606.0450249837</c:v>
                </c:pt>
                <c:pt idx="146">
                  <c:v>-250996.59334502433</c:v>
                </c:pt>
                <c:pt idx="147">
                  <c:v>-230022.8084586887</c:v>
                </c:pt>
                <c:pt idx="148">
                  <c:v>-199322.0363883425</c:v>
                </c:pt>
                <c:pt idx="149">
                  <c:v>-156780.42572281873</c:v>
                </c:pt>
                <c:pt idx="150">
                  <c:v>-199668.79727106745</c:v>
                </c:pt>
                <c:pt idx="151">
                  <c:v>-231094.80241086808</c:v>
                </c:pt>
                <c:pt idx="152">
                  <c:v>-252952.03698741435</c:v>
                </c:pt>
                <c:pt idx="153">
                  <c:v>-266823.99697678437</c:v>
                </c:pt>
                <c:pt idx="154">
                  <c:v>-275031.06806921057</c:v>
                </c:pt>
                <c:pt idx="155">
                  <c:v>-278480.60308301682</c:v>
                </c:pt>
                <c:pt idx="156">
                  <c:v>-277992.13444332435</c:v>
                </c:pt>
                <c:pt idx="157">
                  <c:v>-273912.49419199617</c:v>
                </c:pt>
                <c:pt idx="158">
                  <c:v>-266218.94633872563</c:v>
                </c:pt>
                <c:pt idx="159">
                  <c:v>-254993.55124270872</c:v>
                </c:pt>
                <c:pt idx="160">
                  <c:v>-241740.68239953369</c:v>
                </c:pt>
                <c:pt idx="161">
                  <c:v>-227664.05351692933</c:v>
                </c:pt>
                <c:pt idx="162">
                  <c:v>-212547.39703331873</c:v>
                </c:pt>
                <c:pt idx="163">
                  <c:v>-196429.01511820496</c:v>
                </c:pt>
                <c:pt idx="164">
                  <c:v>-181927.93409880748</c:v>
                </c:pt>
                <c:pt idx="165">
                  <c:v>-166699.25288760249</c:v>
                </c:pt>
                <c:pt idx="166">
                  <c:v>-152449.63927566374</c:v>
                </c:pt>
                <c:pt idx="167">
                  <c:v>-139780.01325664873</c:v>
                </c:pt>
                <c:pt idx="168">
                  <c:v>-128007.53488790561</c:v>
                </c:pt>
                <c:pt idx="169">
                  <c:v>-116931.63915048374</c:v>
                </c:pt>
                <c:pt idx="170">
                  <c:v>-107495.31687127124</c:v>
                </c:pt>
                <c:pt idx="171">
                  <c:v>-98942.803792464343</c:v>
                </c:pt>
                <c:pt idx="172">
                  <c:v>-91830.946942628099</c:v>
                </c:pt>
                <c:pt idx="173">
                  <c:v>-85776.977893813746</c:v>
                </c:pt>
                <c:pt idx="174">
                  <c:v>-80107.588471891853</c:v>
                </c:pt>
                <c:pt idx="175">
                  <c:v>-75740.638303938118</c:v>
                </c:pt>
                <c:pt idx="176">
                  <c:v>-71867.823662601237</c:v>
                </c:pt>
                <c:pt idx="177">
                  <c:v>-68935.417038606232</c:v>
                </c:pt>
                <c:pt idx="178">
                  <c:v>-66149.580645638111</c:v>
                </c:pt>
                <c:pt idx="179">
                  <c:v>-63839.839560481239</c:v>
                </c:pt>
                <c:pt idx="180">
                  <c:v>-61696.060238653561</c:v>
                </c:pt>
                <c:pt idx="181">
                  <c:v>-59653.071425897244</c:v>
                </c:pt>
                <c:pt idx="182">
                  <c:v>-58260.398007016804</c:v>
                </c:pt>
                <c:pt idx="183">
                  <c:v>-56942.68832284899</c:v>
                </c:pt>
                <c:pt idx="184">
                  <c:v>-56097.123981087301</c:v>
                </c:pt>
                <c:pt idx="185">
                  <c:v>-55254.346961842624</c:v>
                </c:pt>
                <c:pt idx="186">
                  <c:v>-54488.167142062557</c:v>
                </c:pt>
                <c:pt idx="187">
                  <c:v>-53078.412287811181</c:v>
                </c:pt>
                <c:pt idx="188">
                  <c:v>-52641.876905731238</c:v>
                </c:pt>
                <c:pt idx="189">
                  <c:v>-52347.465142213732</c:v>
                </c:pt>
                <c:pt idx="190">
                  <c:v>-51591.107967578682</c:v>
                </c:pt>
                <c:pt idx="191">
                  <c:v>-51185.948758530241</c:v>
                </c:pt>
                <c:pt idx="192">
                  <c:v>-50947.459535153619</c:v>
                </c:pt>
                <c:pt idx="193">
                  <c:v>-50308.631296294057</c:v>
                </c:pt>
                <c:pt idx="194">
                  <c:v>-50204.518508531117</c:v>
                </c:pt>
                <c:pt idx="195">
                  <c:v>-50034.161014202735</c:v>
                </c:pt>
                <c:pt idx="196">
                  <c:v>-49643.849120545237</c:v>
                </c:pt>
                <c:pt idx="197">
                  <c:v>-49443.644476519308</c:v>
                </c:pt>
                <c:pt idx="198">
                  <c:v>-49555.795249889932</c:v>
                </c:pt>
                <c:pt idx="199">
                  <c:v>-48571.165821766808</c:v>
                </c:pt>
                <c:pt idx="200">
                  <c:v>-48768.303187971178</c:v>
                </c:pt>
                <c:pt idx="201">
                  <c:v>-48137.97607976212</c:v>
                </c:pt>
                <c:pt idx="202">
                  <c:v>-48538.281595577864</c:v>
                </c:pt>
                <c:pt idx="203">
                  <c:v>-48110.445888067683</c:v>
                </c:pt>
                <c:pt idx="204">
                  <c:v>-48059.406363465685</c:v>
                </c:pt>
                <c:pt idx="205">
                  <c:v>-47450.678150689986</c:v>
                </c:pt>
                <c:pt idx="206">
                  <c:v>-47519.043064569363</c:v>
                </c:pt>
                <c:pt idx="207">
                  <c:v>-47328.053389538058</c:v>
                </c:pt>
                <c:pt idx="208">
                  <c:v>-46884.157469856866</c:v>
                </c:pt>
                <c:pt idx="209">
                  <c:v>-46773.029219157623</c:v>
                </c:pt>
                <c:pt idx="210">
                  <c:v>-46155.500191634615</c:v>
                </c:pt>
                <c:pt idx="211">
                  <c:v>-46214.514943442431</c:v>
                </c:pt>
                <c:pt idx="212">
                  <c:v>-45459.39925803306</c:v>
                </c:pt>
                <c:pt idx="213">
                  <c:v>-45214.56428588643</c:v>
                </c:pt>
                <c:pt idx="214">
                  <c:v>-44749.806955082677</c:v>
                </c:pt>
                <c:pt idx="215">
                  <c:v>-44070.526252335432</c:v>
                </c:pt>
                <c:pt idx="216">
                  <c:v>-43460.251313647372</c:v>
                </c:pt>
                <c:pt idx="217">
                  <c:v>-42338.843777510803</c:v>
                </c:pt>
                <c:pt idx="218">
                  <c:v>-41106.249289646366</c:v>
                </c:pt>
                <c:pt idx="219">
                  <c:v>-39679.144532885177</c:v>
                </c:pt>
                <c:pt idx="220">
                  <c:v>-38040.772221161053</c:v>
                </c:pt>
                <c:pt idx="221">
                  <c:v>-35424.601274306871</c:v>
                </c:pt>
                <c:pt idx="222">
                  <c:v>-31416.533393433183</c:v>
                </c:pt>
                <c:pt idx="223">
                  <c:v>-26792.343935208748</c:v>
                </c:pt>
                <c:pt idx="224">
                  <c:v>-19795.282231625184</c:v>
                </c:pt>
                <c:pt idx="225">
                  <c:v>-11548.294700994311</c:v>
                </c:pt>
                <c:pt idx="226">
                  <c:v>-762.17724610139987</c:v>
                </c:pt>
                <c:pt idx="227">
                  <c:v>14694.886268980623</c:v>
                </c:pt>
                <c:pt idx="228">
                  <c:v>32214.243872690306</c:v>
                </c:pt>
                <c:pt idx="229">
                  <c:v>52523.666725196621</c:v>
                </c:pt>
                <c:pt idx="230">
                  <c:v>77328.039388739999</c:v>
                </c:pt>
                <c:pt idx="231">
                  <c:v>101692.95264100749</c:v>
                </c:pt>
                <c:pt idx="232">
                  <c:v>125784.74247210874</c:v>
                </c:pt>
                <c:pt idx="233">
                  <c:v>149457.87134409559</c:v>
                </c:pt>
                <c:pt idx="234">
                  <c:v>171868.66509328558</c:v>
                </c:pt>
                <c:pt idx="235">
                  <c:v>192378.92937562871</c:v>
                </c:pt>
                <c:pt idx="236">
                  <c:v>211939.31977157498</c:v>
                </c:pt>
                <c:pt idx="237">
                  <c:v>229940.19354443869</c:v>
                </c:pt>
                <c:pt idx="238">
                  <c:v>246081.1347660856</c:v>
                </c:pt>
                <c:pt idx="239">
                  <c:v>259043.27028282621</c:v>
                </c:pt>
                <c:pt idx="240">
                  <c:v>268695.58781924122</c:v>
                </c:pt>
                <c:pt idx="241">
                  <c:v>273545.15749371808</c:v>
                </c:pt>
                <c:pt idx="242">
                  <c:v>275010.97496569558</c:v>
                </c:pt>
                <c:pt idx="243">
                  <c:v>272406.23472455679</c:v>
                </c:pt>
                <c:pt idx="244">
                  <c:v>263987.36295853934</c:v>
                </c:pt>
                <c:pt idx="245">
                  <c:v>250496.36776884686</c:v>
                </c:pt>
                <c:pt idx="246">
                  <c:v>229631.44146800184</c:v>
                </c:pt>
                <c:pt idx="247">
                  <c:v>198374.50106250998</c:v>
                </c:pt>
                <c:pt idx="248">
                  <c:v>155683.27461930059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B99-4317-9351-C1C2B1B8E9D4}"/>
            </c:ext>
          </c:extLst>
        </c:ser>
        <c:ser>
          <c:idx val="5"/>
          <c:order val="5"/>
          <c:tx>
            <c:v>Fe2O3 Sample #5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'#5'!$G$9:$G$257</c:f>
              <c:numCache>
                <c:formatCode>General</c:formatCode>
                <c:ptCount val="249"/>
                <c:pt idx="0">
                  <c:v>-24.566120043443718</c:v>
                </c:pt>
                <c:pt idx="1">
                  <c:v>86.703943887144561</c:v>
                </c:pt>
                <c:pt idx="2">
                  <c:v>85.258879815807191</c:v>
                </c:pt>
                <c:pt idx="3">
                  <c:v>87.426478294406508</c:v>
                </c:pt>
                <c:pt idx="4">
                  <c:v>127.88832446689814</c:v>
                </c:pt>
                <c:pt idx="5">
                  <c:v>163.29243453174266</c:v>
                </c:pt>
                <c:pt idx="6">
                  <c:v>202.30920714652387</c:v>
                </c:pt>
                <c:pt idx="7">
                  <c:v>292.62582306997814</c:v>
                </c:pt>
                <c:pt idx="8">
                  <c:v>331.64260517113246</c:v>
                </c:pt>
                <c:pt idx="9">
                  <c:v>469.64638762376279</c:v>
                </c:pt>
                <c:pt idx="10">
                  <c:v>580.19392900505693</c:v>
                </c:pt>
                <c:pt idx="11">
                  <c:v>714.5850157054432</c:v>
                </c:pt>
                <c:pt idx="12">
                  <c:v>856.20151288306386</c:v>
                </c:pt>
                <c:pt idx="13">
                  <c:v>1070.7938002098542</c:v>
                </c:pt>
                <c:pt idx="14">
                  <c:v>1315.0099460593296</c:v>
                </c:pt>
                <c:pt idx="15">
                  <c:v>1632.9242883991867</c:v>
                </c:pt>
                <c:pt idx="16">
                  <c:v>2004.3062622537902</c:v>
                </c:pt>
                <c:pt idx="17">
                  <c:v>2472.5075336311616</c:v>
                </c:pt>
                <c:pt idx="18">
                  <c:v>3045.4761659954693</c:v>
                </c:pt>
                <c:pt idx="19">
                  <c:v>3752.8357522509232</c:v>
                </c:pt>
                <c:pt idx="20">
                  <c:v>4617.7075452119034</c:v>
                </c:pt>
                <c:pt idx="21">
                  <c:v>5686.333746943159</c:v>
                </c:pt>
                <c:pt idx="22">
                  <c:v>7013.626801641878</c:v>
                </c:pt>
                <c:pt idx="23">
                  <c:v>8645.8286078088495</c:v>
                </c:pt>
                <c:pt idx="24">
                  <c:v>10639.296422323681</c:v>
                </c:pt>
                <c:pt idx="25">
                  <c:v>13090.129185424756</c:v>
                </c:pt>
                <c:pt idx="26">
                  <c:v>16110.316196563244</c:v>
                </c:pt>
                <c:pt idx="27">
                  <c:v>19837.140615289038</c:v>
                </c:pt>
                <c:pt idx="28">
                  <c:v>24419.444102611138</c:v>
                </c:pt>
                <c:pt idx="29">
                  <c:v>30079.766971375044</c:v>
                </c:pt>
                <c:pt idx="30">
                  <c:v>37056.544750662746</c:v>
                </c:pt>
                <c:pt idx="31">
                  <c:v>45644.569619307797</c:v>
                </c:pt>
                <c:pt idx="32">
                  <c:v>56185.599958260522</c:v>
                </c:pt>
                <c:pt idx="33">
                  <c:v>69237.436978250407</c:v>
                </c:pt>
                <c:pt idx="34">
                  <c:v>85266.104789911202</c:v>
                </c:pt>
                <c:pt idx="35">
                  <c:v>104980.41310455049</c:v>
                </c:pt>
                <c:pt idx="36">
                  <c:v>129282.81144277695</c:v>
                </c:pt>
                <c:pt idx="37">
                  <c:v>159285.26674402674</c:v>
                </c:pt>
                <c:pt idx="38">
                  <c:v>196108.44001963979</c:v>
                </c:pt>
                <c:pt idx="39">
                  <c:v>241531.90579077555</c:v>
                </c:pt>
                <c:pt idx="40">
                  <c:v>297461.72518223012</c:v>
                </c:pt>
                <c:pt idx="41">
                  <c:v>366332.85031193838</c:v>
                </c:pt>
                <c:pt idx="42">
                  <c:v>451180.60024747084</c:v>
                </c:pt>
                <c:pt idx="43">
                  <c:v>555589.50683548558</c:v>
                </c:pt>
                <c:pt idx="44">
                  <c:v>684299.3449406568</c:v>
                </c:pt>
                <c:pt idx="45">
                  <c:v>842737.08052776929</c:v>
                </c:pt>
                <c:pt idx="46">
                  <c:v>1037772.5652200042</c:v>
                </c:pt>
                <c:pt idx="47">
                  <c:v>1278084.1341650204</c:v>
                </c:pt>
                <c:pt idx="48">
                  <c:v>1574011.8462156442</c:v>
                </c:pt>
                <c:pt idx="49">
                  <c:v>1938458.17035094</c:v>
                </c:pt>
                <c:pt idx="50">
                  <c:v>2387286.2227396467</c:v>
                </c:pt>
                <c:pt idx="51">
                  <c:v>1938459.6468860565</c:v>
                </c:pt>
                <c:pt idx="52">
                  <c:v>1574001.0441955808</c:v>
                </c:pt>
                <c:pt idx="53">
                  <c:v>1278107.9141516348</c:v>
                </c:pt>
                <c:pt idx="54">
                  <c:v>1037808.6626179819</c:v>
                </c:pt>
                <c:pt idx="55">
                  <c:v>842687.18918330397</c:v>
                </c:pt>
                <c:pt idx="56">
                  <c:v>684282.01508113067</c:v>
                </c:pt>
                <c:pt idx="57">
                  <c:v>555601.80481875944</c:v>
                </c:pt>
                <c:pt idx="58">
                  <c:v>451138.71327758481</c:v>
                </c:pt>
                <c:pt idx="59">
                  <c:v>366323.44711461704</c:v>
                </c:pt>
                <c:pt idx="60">
                  <c:v>297454.50764544372</c:v>
                </c:pt>
                <c:pt idx="61">
                  <c:v>241523.2408610133</c:v>
                </c:pt>
                <c:pt idx="62">
                  <c:v>196093.25696446138</c:v>
                </c:pt>
                <c:pt idx="63">
                  <c:v>159232.51946979607</c:v>
                </c:pt>
                <c:pt idx="64">
                  <c:v>129282.08288926528</c:v>
                </c:pt>
                <c:pt idx="65">
                  <c:v>104975.35694318141</c:v>
                </c:pt>
                <c:pt idx="66">
                  <c:v>85241.542822528398</c:v>
                </c:pt>
                <c:pt idx="67">
                  <c:v>69217.931172236698</c:v>
                </c:pt>
                <c:pt idx="68">
                  <c:v>56166.815420223167</c:v>
                </c:pt>
                <c:pt idx="69">
                  <c:v>45617.115294483992</c:v>
                </c:pt>
                <c:pt idx="70">
                  <c:v>37014.638352683105</c:v>
                </c:pt>
                <c:pt idx="71">
                  <c:v>30055.923843456425</c:v>
                </c:pt>
                <c:pt idx="72">
                  <c:v>24412.219280289071</c:v>
                </c:pt>
                <c:pt idx="73">
                  <c:v>19794.511127949241</c:v>
                </c:pt>
                <c:pt idx="74">
                  <c:v>16087.194943748929</c:v>
                </c:pt>
                <c:pt idx="75">
                  <c:v>13046.776608724804</c:v>
                </c:pt>
                <c:pt idx="76">
                  <c:v>10576.436825354262</c:v>
                </c:pt>
                <c:pt idx="77">
                  <c:v>8585.8583326403077</c:v>
                </c:pt>
                <c:pt idx="78">
                  <c:v>6959.4369914588815</c:v>
                </c:pt>
                <c:pt idx="79">
                  <c:v>5640.0915448783953</c:v>
                </c:pt>
                <c:pt idx="80">
                  <c:v>4575.0782096541116</c:v>
                </c:pt>
                <c:pt idx="81">
                  <c:v>3709.4840862429105</c:v>
                </c:pt>
                <c:pt idx="82">
                  <c:v>3004.2917949020898</c:v>
                </c:pt>
                <c:pt idx="83">
                  <c:v>2424.0978848697778</c:v>
                </c:pt>
                <c:pt idx="84">
                  <c:v>1953.0063809996216</c:v>
                </c:pt>
                <c:pt idx="85">
                  <c:v>1578.0119200929944</c:v>
                </c:pt>
                <c:pt idx="86">
                  <c:v>1279.605736387563</c:v>
                </c:pt>
                <c:pt idx="87">
                  <c:v>1034.6671462513716</c:v>
                </c:pt>
                <c:pt idx="88">
                  <c:v>830.91277542658815</c:v>
                </c:pt>
                <c:pt idx="89">
                  <c:v>658.950013385067</c:v>
                </c:pt>
                <c:pt idx="90">
                  <c:v>620.65576094798735</c:v>
                </c:pt>
                <c:pt idx="91">
                  <c:v>414.73388650834119</c:v>
                </c:pt>
                <c:pt idx="92">
                  <c:v>415.45640668604182</c:v>
                </c:pt>
                <c:pt idx="93">
                  <c:v>279.62023219838392</c:v>
                </c:pt>
                <c:pt idx="94">
                  <c:v>268.78223031901587</c:v>
                </c:pt>
                <c:pt idx="95">
                  <c:v>268.78223980538974</c:v>
                </c:pt>
                <c:pt idx="96">
                  <c:v>185.69095846818104</c:v>
                </c:pt>
                <c:pt idx="97">
                  <c:v>190.026145939005</c:v>
                </c:pt>
                <c:pt idx="98">
                  <c:v>156.06709994549703</c:v>
                </c:pt>
                <c:pt idx="99">
                  <c:v>154.62204061734701</c:v>
                </c:pt>
                <c:pt idx="100">
                  <c:v>-133.66859023861986</c:v>
                </c:pt>
                <c:pt idx="101">
                  <c:v>-130.05591820231012</c:v>
                </c:pt>
                <c:pt idx="102">
                  <c:v>-114.16019918804274</c:v>
                </c:pt>
                <c:pt idx="103">
                  <c:v>-135.11365430995642</c:v>
                </c:pt>
                <c:pt idx="104">
                  <c:v>-170.51776911798828</c:v>
                </c:pt>
                <c:pt idx="105">
                  <c:v>-216.03733716856661</c:v>
                </c:pt>
                <c:pt idx="106">
                  <c:v>-264.44704284819193</c:v>
                </c:pt>
                <c:pt idx="107">
                  <c:v>-428.46203550313083</c:v>
                </c:pt>
                <c:pt idx="108">
                  <c:v>-425.57187890133525</c:v>
                </c:pt>
                <c:pt idx="109">
                  <c:v>-619.93324077028672</c:v>
                </c:pt>
                <c:pt idx="110">
                  <c:v>-753.60178832022359</c:v>
                </c:pt>
                <c:pt idx="111">
                  <c:v>-914.00407573654218</c:v>
                </c:pt>
                <c:pt idx="112">
                  <c:v>-1122.0935676275349</c:v>
                </c:pt>
                <c:pt idx="113">
                  <c:v>-1361.9744785743208</c:v>
                </c:pt>
                <c:pt idx="114">
                  <c:v>-1680.6114549283634</c:v>
                </c:pt>
                <c:pt idx="115">
                  <c:v>-2056.328625740166</c:v>
                </c:pt>
                <c:pt idx="116">
                  <c:v>-2510.079265890538</c:v>
                </c:pt>
                <c:pt idx="117">
                  <c:v>-3088.8281355674471</c:v>
                </c:pt>
                <c:pt idx="118">
                  <c:v>-3781.7371664868997</c:v>
                </c:pt>
                <c:pt idx="119">
                  <c:v>-4667.5624620016588</c:v>
                </c:pt>
                <c:pt idx="120">
                  <c:v>-5722.460590629119</c:v>
                </c:pt>
                <c:pt idx="121">
                  <c:v>-7049.7536453278299</c:v>
                </c:pt>
                <c:pt idx="122">
                  <c:v>-8664.6143601020576</c:v>
                </c:pt>
                <c:pt idx="123">
                  <c:v>-10657.3596923847</c:v>
                </c:pt>
                <c:pt idx="124">
                  <c:v>-13111.804259518842</c:v>
                </c:pt>
                <c:pt idx="125">
                  <c:v>-16155.113130599693</c:v>
                </c:pt>
                <c:pt idx="126">
                  <c:v>-19886.995532078785</c:v>
                </c:pt>
                <c:pt idx="127">
                  <c:v>-24479.414984907642</c:v>
                </c:pt>
                <c:pt idx="128">
                  <c:v>-30135.401746022482</c:v>
                </c:pt>
                <c:pt idx="129">
                  <c:v>-37089.05887962375</c:v>
                </c:pt>
                <c:pt idx="130">
                  <c:v>-45676.361266036532</c:v>
                </c:pt>
                <c:pt idx="131">
                  <c:v>-56246.295751300917</c:v>
                </c:pt>
                <c:pt idx="132">
                  <c:v>-69262.725070633489</c:v>
                </c:pt>
                <c:pt idx="133">
                  <c:v>-85276.22196967389</c:v>
                </c:pt>
                <c:pt idx="134">
                  <c:v>-105031.71298580448</c:v>
                </c:pt>
                <c:pt idx="135">
                  <c:v>-129345.67103974661</c:v>
                </c:pt>
                <c:pt idx="136">
                  <c:v>-159279.48688616889</c:v>
                </c:pt>
                <c:pt idx="137">
                  <c:v>-196147.45163166721</c:v>
                </c:pt>
                <c:pt idx="138">
                  <c:v>-241571.65567036124</c:v>
                </c:pt>
                <c:pt idx="139">
                  <c:v>-297474.02316550404</c:v>
                </c:pt>
                <c:pt idx="140">
                  <c:v>-366353.81322497461</c:v>
                </c:pt>
                <c:pt idx="141">
                  <c:v>-451164.72749496729</c:v>
                </c:pt>
                <c:pt idx="142">
                  <c:v>-555622.76773179579</c:v>
                </c:pt>
                <c:pt idx="143">
                  <c:v>-684299.3449406568</c:v>
                </c:pt>
                <c:pt idx="144">
                  <c:v>-842688.66571842053</c:v>
                </c:pt>
                <c:pt idx="145">
                  <c:v>-1037776.9171129717</c:v>
                </c:pt>
                <c:pt idx="146">
                  <c:v>-1278107.2147402638</c:v>
                </c:pt>
                <c:pt idx="147">
                  <c:v>-1574070.4413460598</c:v>
                </c:pt>
                <c:pt idx="148">
                  <c:v>-1938451.720223852</c:v>
                </c:pt>
                <c:pt idx="149">
                  <c:v>-2387283.2696694136</c:v>
                </c:pt>
                <c:pt idx="150">
                  <c:v>-1938466.8741368903</c:v>
                </c:pt>
                <c:pt idx="151">
                  <c:v>-1574013.3227507607</c:v>
                </c:pt>
                <c:pt idx="152">
                  <c:v>-1278155.6295496125</c:v>
                </c:pt>
                <c:pt idx="153">
                  <c:v>-1037783.406096251</c:v>
                </c:pt>
                <c:pt idx="154">
                  <c:v>-842704.5190428301</c:v>
                </c:pt>
                <c:pt idx="155">
                  <c:v>-684286.32811791857</c:v>
                </c:pt>
                <c:pt idx="156">
                  <c:v>-555627.81903614197</c:v>
                </c:pt>
                <c:pt idx="157">
                  <c:v>-451210.22809027089</c:v>
                </c:pt>
                <c:pt idx="158">
                  <c:v>-366330.6743654508</c:v>
                </c:pt>
                <c:pt idx="159">
                  <c:v>-297492.79070395947</c:v>
                </c:pt>
                <c:pt idx="160">
                  <c:v>-241585.37190447049</c:v>
                </c:pt>
                <c:pt idx="161">
                  <c:v>-196184.29701125444</c:v>
                </c:pt>
                <c:pt idx="162">
                  <c:v>-159305.50110355212</c:v>
                </c:pt>
                <c:pt idx="163">
                  <c:v>-129350.7320581394</c:v>
                </c:pt>
                <c:pt idx="164">
                  <c:v>-105059.89343562866</c:v>
                </c:pt>
                <c:pt idx="165">
                  <c:v>-85300.793651104104</c:v>
                </c:pt>
                <c:pt idx="166">
                  <c:v>-69271.394857419931</c:v>
                </c:pt>
                <c:pt idx="167">
                  <c:v>-56267.248950290777</c:v>
                </c:pt>
                <c:pt idx="168">
                  <c:v>-45677.806230500915</c:v>
                </c:pt>
                <c:pt idx="169">
                  <c:v>-37090.503844088133</c:v>
                </c:pt>
                <c:pt idx="170">
                  <c:v>-30141.905300368206</c:v>
                </c:pt>
                <c:pt idx="171">
                  <c:v>-24474.356395026298</c:v>
                </c:pt>
                <c:pt idx="172">
                  <c:v>-19869.654137122074</c:v>
                </c:pt>
                <c:pt idx="173">
                  <c:v>-16162.337345793798</c:v>
                </c:pt>
                <c:pt idx="174">
                  <c:v>-13116.862849400104</c:v>
                </c:pt>
                <c:pt idx="175">
                  <c:v>-10642.186958380489</c:v>
                </c:pt>
                <c:pt idx="176">
                  <c:v>-8671.8397895520102</c:v>
                </c:pt>
                <c:pt idx="177">
                  <c:v>-7020.8519275278959</c:v>
                </c:pt>
                <c:pt idx="178">
                  <c:v>-5736.1886637329144</c:v>
                </c:pt>
                <c:pt idx="179">
                  <c:v>-4667.5624620016588</c:v>
                </c:pt>
                <c:pt idx="180">
                  <c:v>-3806.3032319836911</c:v>
                </c:pt>
                <c:pt idx="181">
                  <c:v>-3101.8338782210221</c:v>
                </c:pt>
                <c:pt idx="182">
                  <c:v>-2509.3567836583311</c:v>
                </c:pt>
                <c:pt idx="183">
                  <c:v>-2062.8314211759639</c:v>
                </c:pt>
                <c:pt idx="184">
                  <c:v>-1687.8368843783471</c:v>
                </c:pt>
                <c:pt idx="185">
                  <c:v>-1347.5238473473216</c:v>
                </c:pt>
                <c:pt idx="186">
                  <c:v>-1103.3077394433451</c:v>
                </c:pt>
                <c:pt idx="187">
                  <c:v>-918.33931063923956</c:v>
                </c:pt>
                <c:pt idx="188">
                  <c:v>-730.48076317883238</c:v>
                </c:pt>
                <c:pt idx="189">
                  <c:v>-624.26839978198893</c:v>
                </c:pt>
                <c:pt idx="190">
                  <c:v>-492.04489258745338</c:v>
                </c:pt>
                <c:pt idx="191">
                  <c:v>-418.34654431508966</c:v>
                </c:pt>
                <c:pt idx="192">
                  <c:v>-342.48059756412744</c:v>
                </c:pt>
                <c:pt idx="193">
                  <c:v>-285.40048848373175</c:v>
                </c:pt>
                <c:pt idx="194">
                  <c:v>-248.55132383392373</c:v>
                </c:pt>
                <c:pt idx="195">
                  <c:v>-197.97401967569991</c:v>
                </c:pt>
                <c:pt idx="196">
                  <c:v>-167.6276220025666</c:v>
                </c:pt>
                <c:pt idx="197">
                  <c:v>-135.11365430995642</c:v>
                </c:pt>
                <c:pt idx="198">
                  <c:v>-132.94605583135791</c:v>
                </c:pt>
                <c:pt idx="199">
                  <c:v>73.698357758737629</c:v>
                </c:pt>
                <c:pt idx="200">
                  <c:v>80.201150822940704</c:v>
                </c:pt>
                <c:pt idx="201">
                  <c:v>85.258879815807191</c:v>
                </c:pt>
                <c:pt idx="202">
                  <c:v>109.10246782358296</c:v>
                </c:pt>
                <c:pt idx="203">
                  <c:v>166.90509233849198</c:v>
                </c:pt>
                <c:pt idx="204">
                  <c:v>201.58666799607457</c:v>
                </c:pt>
                <c:pt idx="205">
                  <c:v>295.51596069902598</c:v>
                </c:pt>
                <c:pt idx="206">
                  <c:v>334.53274280018024</c:v>
                </c:pt>
                <c:pt idx="207">
                  <c:v>411.84374887929334</c:v>
                </c:pt>
                <c:pt idx="208">
                  <c:v>522.39129026058674</c:v>
                </c:pt>
                <c:pt idx="209">
                  <c:v>653.89225830467296</c:v>
                </c:pt>
                <c:pt idx="210">
                  <c:v>829.46777301668396</c:v>
                </c:pt>
                <c:pt idx="211">
                  <c:v>1060.6782521035739</c:v>
                </c:pt>
                <c:pt idx="212">
                  <c:v>1268.7677819400571</c:v>
                </c:pt>
                <c:pt idx="213">
                  <c:v>1607.6356647791911</c:v>
                </c:pt>
                <c:pt idx="214">
                  <c:v>1982.6302015768078</c:v>
                </c:pt>
                <c:pt idx="215">
                  <c:v>2424.8203671019846</c:v>
                </c:pt>
                <c:pt idx="216">
                  <c:v>2992.0086862627008</c:v>
                </c:pt>
                <c:pt idx="217">
                  <c:v>3710.2064166931391</c:v>
                </c:pt>
                <c:pt idx="218">
                  <c:v>4596.0317122078977</c:v>
                </c:pt>
                <c:pt idx="219">
                  <c:v>5663.2127976927604</c:v>
                </c:pt>
                <c:pt idx="220">
                  <c:v>6959.4369914588815</c:v>
                </c:pt>
                <c:pt idx="221">
                  <c:v>8571.4077773042645</c:v>
                </c:pt>
                <c:pt idx="222">
                  <c:v>10580.77232587537</c:v>
                </c:pt>
                <c:pt idx="223">
                  <c:v>13044.609162028233</c:v>
                </c:pt>
                <c:pt idx="224">
                  <c:v>16064.074298062496</c:v>
                </c:pt>
                <c:pt idx="225">
                  <c:v>19811.851915778068</c:v>
                </c:pt>
                <c:pt idx="226">
                  <c:v>24392.71104576367</c:v>
                </c:pt>
                <c:pt idx="227">
                  <c:v>30071.819666820789</c:v>
                </c:pt>
                <c:pt idx="228">
                  <c:v>37015.3608349153</c:v>
                </c:pt>
                <c:pt idx="229">
                  <c:v>45622.895152341596</c:v>
                </c:pt>
                <c:pt idx="230">
                  <c:v>56182.71245784338</c:v>
                </c:pt>
                <c:pt idx="231">
                  <c:v>69214.317546819817</c:v>
                </c:pt>
                <c:pt idx="232">
                  <c:v>85224.203248954873</c:v>
                </c:pt>
                <c:pt idx="233">
                  <c:v>104954.4086012147</c:v>
                </c:pt>
                <c:pt idx="234">
                  <c:v>129282.08288926528</c:v>
                </c:pt>
                <c:pt idx="235">
                  <c:v>159231.79577330811</c:v>
                </c:pt>
                <c:pt idx="236">
                  <c:v>196095.42319690157</c:v>
                </c:pt>
                <c:pt idx="237">
                  <c:v>241500.10200148867</c:v>
                </c:pt>
                <c:pt idx="238">
                  <c:v>297429.22198157216</c:v>
                </c:pt>
                <c:pt idx="239">
                  <c:v>366298.15173669811</c:v>
                </c:pt>
                <c:pt idx="240">
                  <c:v>451133.66197323863</c:v>
                </c:pt>
                <c:pt idx="241">
                  <c:v>555593.12046090246</c:v>
                </c:pt>
                <c:pt idx="242">
                  <c:v>684232.86200422363</c:v>
                </c:pt>
                <c:pt idx="243">
                  <c:v>842664.14746425184</c:v>
                </c:pt>
                <c:pt idx="244">
                  <c:v>1037794.9463838765</c:v>
                </c:pt>
                <c:pt idx="245">
                  <c:v>1278092.7602385962</c:v>
                </c:pt>
                <c:pt idx="246">
                  <c:v>1574006.8726236725</c:v>
                </c:pt>
                <c:pt idx="247">
                  <c:v>1938446.6689195058</c:v>
                </c:pt>
                <c:pt idx="248">
                  <c:v>2387300.0555423177</c:v>
                </c:pt>
              </c:numCache>
            </c:numRef>
          </c:xVal>
          <c:yVal>
            <c:numRef>
              <c:f>'#5'!$H$9:$H$257</c:f>
              <c:numCache>
                <c:formatCode>General</c:formatCode>
                <c:ptCount val="249"/>
                <c:pt idx="0">
                  <c:v>-19550.940901533882</c:v>
                </c:pt>
                <c:pt idx="1">
                  <c:v>-19119.090937779183</c:v>
                </c:pt>
                <c:pt idx="2">
                  <c:v>-19192.581082592278</c:v>
                </c:pt>
                <c:pt idx="3">
                  <c:v>-19064.831644240578</c:v>
                </c:pt>
                <c:pt idx="4">
                  <c:v>-19277.835572641103</c:v>
                </c:pt>
                <c:pt idx="5">
                  <c:v>-19267.338830021225</c:v>
                </c:pt>
                <c:pt idx="6">
                  <c:v>-19023.580399530823</c:v>
                </c:pt>
                <c:pt idx="7">
                  <c:v>-18612.421843123579</c:v>
                </c:pt>
                <c:pt idx="8">
                  <c:v>-18772.36430597501</c:v>
                </c:pt>
                <c:pt idx="9">
                  <c:v>-18845.16026000167</c:v>
                </c:pt>
                <c:pt idx="10">
                  <c:v>-18768.345853954444</c:v>
                </c:pt>
                <c:pt idx="11">
                  <c:v>-18429.236197751776</c:v>
                </c:pt>
                <c:pt idx="12">
                  <c:v>-18065.864466788487</c:v>
                </c:pt>
                <c:pt idx="13">
                  <c:v>-18004.50872353508</c:v>
                </c:pt>
                <c:pt idx="14">
                  <c:v>-18009.730343865522</c:v>
                </c:pt>
                <c:pt idx="15">
                  <c:v>-17128.561938430721</c:v>
                </c:pt>
                <c:pt idx="16">
                  <c:v>-17017.59005672401</c:v>
                </c:pt>
                <c:pt idx="17">
                  <c:v>-16746.807895437709</c:v>
                </c:pt>
                <c:pt idx="18">
                  <c:v>-16094.268018865923</c:v>
                </c:pt>
                <c:pt idx="19">
                  <c:v>-15182.883171380605</c:v>
                </c:pt>
                <c:pt idx="20">
                  <c:v>-14806.192813936495</c:v>
                </c:pt>
                <c:pt idx="21">
                  <c:v>-13115.270926771842</c:v>
                </c:pt>
                <c:pt idx="22">
                  <c:v>-11361.547990129822</c:v>
                </c:pt>
                <c:pt idx="23">
                  <c:v>-9482.2498329597202</c:v>
                </c:pt>
                <c:pt idx="24">
                  <c:v>-6570.3852189642512</c:v>
                </c:pt>
                <c:pt idx="25">
                  <c:v>-2066.4256576071916</c:v>
                </c:pt>
                <c:pt idx="26">
                  <c:v>2216.4748024736978</c:v>
                </c:pt>
                <c:pt idx="27">
                  <c:v>9638.1497990963035</c:v>
                </c:pt>
                <c:pt idx="28">
                  <c:v>18845.290467741132</c:v>
                </c:pt>
                <c:pt idx="29">
                  <c:v>30626.452339040981</c:v>
                </c:pt>
                <c:pt idx="30">
                  <c:v>45706.130793650613</c:v>
                </c:pt>
                <c:pt idx="31">
                  <c:v>61334.912317762719</c:v>
                </c:pt>
                <c:pt idx="32">
                  <c:v>79073.384663061326</c:v>
                </c:pt>
                <c:pt idx="33">
                  <c:v>97542.38318395635</c:v>
                </c:pt>
                <c:pt idx="34">
                  <c:v>116535.37622529408</c:v>
                </c:pt>
                <c:pt idx="35">
                  <c:v>137582.01479944555</c:v>
                </c:pt>
                <c:pt idx="36">
                  <c:v>160296.14123866017</c:v>
                </c:pt>
                <c:pt idx="37">
                  <c:v>181095.69602192161</c:v>
                </c:pt>
                <c:pt idx="38">
                  <c:v>195835.60165948339</c:v>
                </c:pt>
                <c:pt idx="39">
                  <c:v>207798.21565085734</c:v>
                </c:pt>
                <c:pt idx="40">
                  <c:v>217857.90328714444</c:v>
                </c:pt>
                <c:pt idx="41">
                  <c:v>225874.2701098086</c:v>
                </c:pt>
                <c:pt idx="42">
                  <c:v>232067.47408800267</c:v>
                </c:pt>
                <c:pt idx="43">
                  <c:v>235967.01902212517</c:v>
                </c:pt>
                <c:pt idx="44">
                  <c:v>238070.3416960898</c:v>
                </c:pt>
                <c:pt idx="45">
                  <c:v>237426.98283412002</c:v>
                </c:pt>
                <c:pt idx="46">
                  <c:v>234195.45178464692</c:v>
                </c:pt>
                <c:pt idx="47">
                  <c:v>227228.40174687165</c:v>
                </c:pt>
                <c:pt idx="48">
                  <c:v>216142.76302087709</c:v>
                </c:pt>
                <c:pt idx="49">
                  <c:v>199696.69288228248</c:v>
                </c:pt>
                <c:pt idx="50">
                  <c:v>176539.91378514073</c:v>
                </c:pt>
                <c:pt idx="51">
                  <c:v>199900.86650244115</c:v>
                </c:pt>
                <c:pt idx="52">
                  <c:v>216391.04850231123</c:v>
                </c:pt>
                <c:pt idx="53">
                  <c:v>227700.08973798814</c:v>
                </c:pt>
                <c:pt idx="54">
                  <c:v>234838.83456077482</c:v>
                </c:pt>
                <c:pt idx="55">
                  <c:v>238240.92213525239</c:v>
                </c:pt>
                <c:pt idx="56">
                  <c:v>238951.0462564253</c:v>
                </c:pt>
                <c:pt idx="57">
                  <c:v>237404.99483931731</c:v>
                </c:pt>
                <c:pt idx="58">
                  <c:v>233722.80397515948</c:v>
                </c:pt>
                <c:pt idx="59">
                  <c:v>228547.91297647133</c:v>
                </c:pt>
                <c:pt idx="60">
                  <c:v>221770.91706471104</c:v>
                </c:pt>
                <c:pt idx="61">
                  <c:v>212906.27959549509</c:v>
                </c:pt>
                <c:pt idx="62">
                  <c:v>202349.5785130517</c:v>
                </c:pt>
                <c:pt idx="63">
                  <c:v>190866.04978142609</c:v>
                </c:pt>
                <c:pt idx="64">
                  <c:v>175337.0735245453</c:v>
                </c:pt>
                <c:pt idx="65">
                  <c:v>157519.85054874787</c:v>
                </c:pt>
                <c:pt idx="66">
                  <c:v>140037.83392089751</c:v>
                </c:pt>
                <c:pt idx="67">
                  <c:v>125743.56878007276</c:v>
                </c:pt>
                <c:pt idx="68">
                  <c:v>113147.36565011232</c:v>
                </c:pt>
                <c:pt idx="69">
                  <c:v>102353.16240197519</c:v>
                </c:pt>
                <c:pt idx="70">
                  <c:v>92726.182185960031</c:v>
                </c:pt>
                <c:pt idx="71">
                  <c:v>84331.182807019679</c:v>
                </c:pt>
                <c:pt idx="72">
                  <c:v>78028.394772389744</c:v>
                </c:pt>
                <c:pt idx="73">
                  <c:v>72171.272720698864</c:v>
                </c:pt>
                <c:pt idx="74">
                  <c:v>66521.225048767039</c:v>
                </c:pt>
                <c:pt idx="75">
                  <c:v>62701.045168622484</c:v>
                </c:pt>
                <c:pt idx="76">
                  <c:v>58291.864500835494</c:v>
                </c:pt>
                <c:pt idx="77">
                  <c:v>55606.462679151999</c:v>
                </c:pt>
                <c:pt idx="78">
                  <c:v>52447.618821775519</c:v>
                </c:pt>
                <c:pt idx="79">
                  <c:v>50433.550615223161</c:v>
                </c:pt>
                <c:pt idx="80">
                  <c:v>48089.569979431442</c:v>
                </c:pt>
                <c:pt idx="81">
                  <c:v>45699.395518472804</c:v>
                </c:pt>
                <c:pt idx="82">
                  <c:v>44309.76934598435</c:v>
                </c:pt>
                <c:pt idx="83">
                  <c:v>43139.090405782132</c:v>
                </c:pt>
                <c:pt idx="84">
                  <c:v>42162.927086782795</c:v>
                </c:pt>
                <c:pt idx="85">
                  <c:v>41203.415231811348</c:v>
                </c:pt>
                <c:pt idx="86">
                  <c:v>40319.890650623631</c:v>
                </c:pt>
                <c:pt idx="87">
                  <c:v>39982.672711681342</c:v>
                </c:pt>
                <c:pt idx="88">
                  <c:v>39229.080195170565</c:v>
                </c:pt>
                <c:pt idx="89">
                  <c:v>39296.737687509572</c:v>
                </c:pt>
                <c:pt idx="90">
                  <c:v>38843.319110497381</c:v>
                </c:pt>
                <c:pt idx="91">
                  <c:v>38168.686132593881</c:v>
                </c:pt>
                <c:pt idx="92">
                  <c:v>38170.487447928506</c:v>
                </c:pt>
                <c:pt idx="93">
                  <c:v>37669.469441138841</c:v>
                </c:pt>
                <c:pt idx="94">
                  <c:v>37869.697105774147</c:v>
                </c:pt>
                <c:pt idx="95">
                  <c:v>37707.91233489805</c:v>
                </c:pt>
                <c:pt idx="96">
                  <c:v>36866.447539442888</c:v>
                </c:pt>
                <c:pt idx="97">
                  <c:v>36921.24312226085</c:v>
                </c:pt>
                <c:pt idx="98">
                  <c:v>36850.213638398847</c:v>
                </c:pt>
                <c:pt idx="99">
                  <c:v>37331.392916188182</c:v>
                </c:pt>
                <c:pt idx="100">
                  <c:v>36258.078704312604</c:v>
                </c:pt>
                <c:pt idx="101">
                  <c:v>36126.089091841051</c:v>
                </c:pt>
                <c:pt idx="102">
                  <c:v>36273.861484641246</c:v>
                </c:pt>
                <c:pt idx="103">
                  <c:v>36386.305403286511</c:v>
                </c:pt>
                <c:pt idx="104">
                  <c:v>35948.073215531083</c:v>
                </c:pt>
                <c:pt idx="105">
                  <c:v>35601.969206173766</c:v>
                </c:pt>
                <c:pt idx="106">
                  <c:v>35401.545052117348</c:v>
                </c:pt>
                <c:pt idx="107">
                  <c:v>35548.307035408434</c:v>
                </c:pt>
                <c:pt idx="108">
                  <c:v>35251.3685868865</c:v>
                </c:pt>
                <c:pt idx="109">
                  <c:v>35458.674067910993</c:v>
                </c:pt>
                <c:pt idx="110">
                  <c:v>35264.321468791662</c:v>
                </c:pt>
                <c:pt idx="111">
                  <c:v>34834.435676273642</c:v>
                </c:pt>
                <c:pt idx="112">
                  <c:v>34071.035682539434</c:v>
                </c:pt>
                <c:pt idx="113">
                  <c:v>33896.137093534584</c:v>
                </c:pt>
                <c:pt idx="114">
                  <c:v>33499.766474368662</c:v>
                </c:pt>
                <c:pt idx="115">
                  <c:v>33291.717438771433</c:v>
                </c:pt>
                <c:pt idx="116">
                  <c:v>32386.877915279234</c:v>
                </c:pt>
                <c:pt idx="117">
                  <c:v>31889.706992588006</c:v>
                </c:pt>
                <c:pt idx="118">
                  <c:v>30950.764505356827</c:v>
                </c:pt>
                <c:pt idx="119">
                  <c:v>30068.217430534271</c:v>
                </c:pt>
                <c:pt idx="120">
                  <c:v>28311.192122230215</c:v>
                </c:pt>
                <c:pt idx="121">
                  <c:v>26845.72046873752</c:v>
                </c:pt>
                <c:pt idx="122">
                  <c:v>24255.511873123021</c:v>
                </c:pt>
                <c:pt idx="123">
                  <c:v>21831.769095558742</c:v>
                </c:pt>
                <c:pt idx="124">
                  <c:v>17650.98539012091</c:v>
                </c:pt>
                <c:pt idx="125">
                  <c:v>12403.488496656064</c:v>
                </c:pt>
                <c:pt idx="126">
                  <c:v>5904.2557584104125</c:v>
                </c:pt>
                <c:pt idx="127">
                  <c:v>-2975.5454529882427</c:v>
                </c:pt>
                <c:pt idx="128">
                  <c:v>-14504.755155258194</c:v>
                </c:pt>
                <c:pt idx="129">
                  <c:v>-30267.995204466439</c:v>
                </c:pt>
                <c:pt idx="130">
                  <c:v>-48181.618880836315</c:v>
                </c:pt>
                <c:pt idx="131">
                  <c:v>-69468.109557073185</c:v>
                </c:pt>
                <c:pt idx="132">
                  <c:v>-88929.49553164668</c:v>
                </c:pt>
                <c:pt idx="133">
                  <c:v>-111226.26682695061</c:v>
                </c:pt>
                <c:pt idx="134">
                  <c:v>-132410.91941508386</c:v>
                </c:pt>
                <c:pt idx="135">
                  <c:v>-156197.32938109874</c:v>
                </c:pt>
                <c:pt idx="136">
                  <c:v>-178172.40011486728</c:v>
                </c:pt>
                <c:pt idx="137">
                  <c:v>-193637.50447873553</c:v>
                </c:pt>
                <c:pt idx="138">
                  <c:v>-205560.42447469974</c:v>
                </c:pt>
                <c:pt idx="139">
                  <c:v>-217148.29597623373</c:v>
                </c:pt>
                <c:pt idx="140">
                  <c:v>-225425.00912107385</c:v>
                </c:pt>
                <c:pt idx="141">
                  <c:v>-231714.55435503979</c:v>
                </c:pt>
                <c:pt idx="142">
                  <c:v>-235821.57445785226</c:v>
                </c:pt>
                <c:pt idx="143">
                  <c:v>-238066.80384260439</c:v>
                </c:pt>
                <c:pt idx="144">
                  <c:v>-237623.99809485342</c:v>
                </c:pt>
                <c:pt idx="145">
                  <c:v>-234138.26852085293</c:v>
                </c:pt>
                <c:pt idx="146">
                  <c:v>-227485.4514492107</c:v>
                </c:pt>
                <c:pt idx="147">
                  <c:v>-216521.59115079357</c:v>
                </c:pt>
                <c:pt idx="148">
                  <c:v>-200007.22924846321</c:v>
                </c:pt>
                <c:pt idx="149">
                  <c:v>-176655.48728214388</c:v>
                </c:pt>
                <c:pt idx="150">
                  <c:v>-200216.02192923025</c:v>
                </c:pt>
                <c:pt idx="151">
                  <c:v>-216205.7510630941</c:v>
                </c:pt>
                <c:pt idx="152">
                  <c:v>-227788.07695284803</c:v>
                </c:pt>
                <c:pt idx="153">
                  <c:v>-234713.32094243981</c:v>
                </c:pt>
                <c:pt idx="154">
                  <c:v>-238341.74154780788</c:v>
                </c:pt>
                <c:pt idx="155">
                  <c:v>-239143.89640662671</c:v>
                </c:pt>
                <c:pt idx="156">
                  <c:v>-237011.95956378346</c:v>
                </c:pt>
                <c:pt idx="157">
                  <c:v>-233846.18623228525</c:v>
                </c:pt>
                <c:pt idx="158">
                  <c:v>-228225.16449924815</c:v>
                </c:pt>
                <c:pt idx="159">
                  <c:v>-221038.25721360926</c:v>
                </c:pt>
                <c:pt idx="160">
                  <c:v>-211961.67641854545</c:v>
                </c:pt>
                <c:pt idx="161">
                  <c:v>-201036.63882849636</c:v>
                </c:pt>
                <c:pt idx="162">
                  <c:v>-188601.82880624433</c:v>
                </c:pt>
                <c:pt idx="163">
                  <c:v>-172406.96997672814</c:v>
                </c:pt>
                <c:pt idx="164">
                  <c:v>-152784.82992613132</c:v>
                </c:pt>
                <c:pt idx="165">
                  <c:v>-135118.05844346329</c:v>
                </c:pt>
                <c:pt idx="166">
                  <c:v>-120795.39883177415</c:v>
                </c:pt>
                <c:pt idx="167">
                  <c:v>-107496.1293877694</c:v>
                </c:pt>
                <c:pt idx="168">
                  <c:v>-95697.04766056755</c:v>
                </c:pt>
                <c:pt idx="169">
                  <c:v>-86462.694220617195</c:v>
                </c:pt>
                <c:pt idx="170">
                  <c:v>-77909.3547436316</c:v>
                </c:pt>
                <c:pt idx="171">
                  <c:v>-70542.790220258292</c:v>
                </c:pt>
                <c:pt idx="172">
                  <c:v>-64285.445686747757</c:v>
                </c:pt>
                <c:pt idx="173">
                  <c:v>-58727.458369133616</c:v>
                </c:pt>
                <c:pt idx="174">
                  <c:v>-54242.824825629279</c:v>
                </c:pt>
                <c:pt idx="175">
                  <c:v>-50172.412292250323</c:v>
                </c:pt>
                <c:pt idx="176">
                  <c:v>-46786.166037630363</c:v>
                </c:pt>
                <c:pt idx="177">
                  <c:v>-43907.592532424584</c:v>
                </c:pt>
                <c:pt idx="178">
                  <c:v>-41547.272612466913</c:v>
                </c:pt>
                <c:pt idx="179">
                  <c:v>-39757.547414593224</c:v>
                </c:pt>
                <c:pt idx="180">
                  <c:v>-37385.69800686917</c:v>
                </c:pt>
                <c:pt idx="181">
                  <c:v>-36057.918727594166</c:v>
                </c:pt>
                <c:pt idx="182">
                  <c:v>-34332.155517126783</c:v>
                </c:pt>
                <c:pt idx="183">
                  <c:v>-33346.520339493196</c:v>
                </c:pt>
                <c:pt idx="184">
                  <c:v>-32632.667428914992</c:v>
                </c:pt>
                <c:pt idx="185">
                  <c:v>-31769.610862371053</c:v>
                </c:pt>
                <c:pt idx="186">
                  <c:v>-30818.856781429422</c:v>
                </c:pt>
                <c:pt idx="187">
                  <c:v>-30385.170460423011</c:v>
                </c:pt>
                <c:pt idx="188">
                  <c:v>-29743.213912433243</c:v>
                </c:pt>
                <c:pt idx="189">
                  <c:v>-29963.950056091282</c:v>
                </c:pt>
                <c:pt idx="190">
                  <c:v>-29226.143674294162</c:v>
                </c:pt>
                <c:pt idx="191">
                  <c:v>-28860.160638237285</c:v>
                </c:pt>
                <c:pt idx="192">
                  <c:v>-28467.046722559047</c:v>
                </c:pt>
                <c:pt idx="193">
                  <c:v>-28277.996093384896</c:v>
                </c:pt>
                <c:pt idx="194">
                  <c:v>-27961.366518644143</c:v>
                </c:pt>
                <c:pt idx="195">
                  <c:v>-28115.118747667057</c:v>
                </c:pt>
                <c:pt idx="196">
                  <c:v>-27604.090054244905</c:v>
                </c:pt>
                <c:pt idx="197">
                  <c:v>-27694.870568182458</c:v>
                </c:pt>
                <c:pt idx="198">
                  <c:v>-27351.87634928813</c:v>
                </c:pt>
                <c:pt idx="199">
                  <c:v>-27168.040369373342</c:v>
                </c:pt>
                <c:pt idx="200">
                  <c:v>-27353.59128912149</c:v>
                </c:pt>
                <c:pt idx="201">
                  <c:v>-27098.639422054788</c:v>
                </c:pt>
                <c:pt idx="202">
                  <c:v>-27031.933714580173</c:v>
                </c:pt>
                <c:pt idx="203">
                  <c:v>-26623.641872132135</c:v>
                </c:pt>
                <c:pt idx="204">
                  <c:v>-26633.013735346063</c:v>
                </c:pt>
                <c:pt idx="205">
                  <c:v>-26417.531523091155</c:v>
                </c:pt>
                <c:pt idx="206">
                  <c:v>-26439.210616816272</c:v>
                </c:pt>
                <c:pt idx="207">
                  <c:v>-26277.767729528718</c:v>
                </c:pt>
                <c:pt idx="208">
                  <c:v>-26227.150952610962</c:v>
                </c:pt>
                <c:pt idx="209">
                  <c:v>-25573.665422718077</c:v>
                </c:pt>
                <c:pt idx="210">
                  <c:v>-24947.319228275341</c:v>
                </c:pt>
                <c:pt idx="211">
                  <c:v>-24830.298445574525</c:v>
                </c:pt>
                <c:pt idx="212">
                  <c:v>-24809.217314811664</c:v>
                </c:pt>
                <c:pt idx="213">
                  <c:v>-24412.147416929263</c:v>
                </c:pt>
                <c:pt idx="214">
                  <c:v>-23559.964724283702</c:v>
                </c:pt>
                <c:pt idx="215">
                  <c:v>-22868.745390265281</c:v>
                </c:pt>
                <c:pt idx="216">
                  <c:v>-22578.76100468271</c:v>
                </c:pt>
                <c:pt idx="217">
                  <c:v>-21182.90334853276</c:v>
                </c:pt>
                <c:pt idx="218">
                  <c:v>-20120.724749299392</c:v>
                </c:pt>
                <c:pt idx="219">
                  <c:v>-18631.769821889939</c:v>
                </c:pt>
                <c:pt idx="220">
                  <c:v>-16987.48021073272</c:v>
                </c:pt>
                <c:pt idx="221">
                  <c:v>-14398.468713593558</c:v>
                </c:pt>
                <c:pt idx="222">
                  <c:v>-11260.55109872954</c:v>
                </c:pt>
                <c:pt idx="223">
                  <c:v>-6783.7070639819185</c:v>
                </c:pt>
                <c:pt idx="224">
                  <c:v>-1040.5021527360195</c:v>
                </c:pt>
                <c:pt idx="225">
                  <c:v>6497.7130857549046</c:v>
                </c:pt>
                <c:pt idx="226">
                  <c:v>16244.516167883143</c:v>
                </c:pt>
                <c:pt idx="227">
                  <c:v>28361.925282868138</c:v>
                </c:pt>
                <c:pt idx="228">
                  <c:v>43628.302414029815</c:v>
                </c:pt>
                <c:pt idx="229">
                  <c:v>61633.657749498401</c:v>
                </c:pt>
                <c:pt idx="230">
                  <c:v>79595.993030286569</c:v>
                </c:pt>
                <c:pt idx="231">
                  <c:v>98952.954138693589</c:v>
                </c:pt>
                <c:pt idx="232">
                  <c:v>118007.65452521239</c:v>
                </c:pt>
                <c:pt idx="233">
                  <c:v>139364.31673518932</c:v>
                </c:pt>
                <c:pt idx="234">
                  <c:v>161653.26022718512</c:v>
                </c:pt>
                <c:pt idx="235">
                  <c:v>181269.98744348434</c:v>
                </c:pt>
                <c:pt idx="236">
                  <c:v>195147.45017033099</c:v>
                </c:pt>
                <c:pt idx="237">
                  <c:v>206642.00349868133</c:v>
                </c:pt>
                <c:pt idx="238">
                  <c:v>216442.60430964336</c:v>
                </c:pt>
                <c:pt idx="239">
                  <c:v>224379.53950969904</c:v>
                </c:pt>
                <c:pt idx="240">
                  <c:v>230810.95485661278</c:v>
                </c:pt>
                <c:pt idx="241">
                  <c:v>234876.21990023143</c:v>
                </c:pt>
                <c:pt idx="242">
                  <c:v>236819.93766202108</c:v>
                </c:pt>
                <c:pt idx="243">
                  <c:v>236609.23031272498</c:v>
                </c:pt>
                <c:pt idx="244">
                  <c:v>233318.38690901714</c:v>
                </c:pt>
                <c:pt idx="245">
                  <c:v>226375.72366133612</c:v>
                </c:pt>
                <c:pt idx="246">
                  <c:v>215324.44081320395</c:v>
                </c:pt>
                <c:pt idx="247">
                  <c:v>198926.12234862038</c:v>
                </c:pt>
                <c:pt idx="248">
                  <c:v>175432.30287718048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B99-4317-9351-C1C2B1B8E9D4}"/>
            </c:ext>
          </c:extLst>
        </c:ser>
        <c:ser>
          <c:idx val="6"/>
          <c:order val="6"/>
          <c:tx>
            <c:v>Fe2O3 Sample #6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'#6'!$G$9:$G$257</c:f>
              <c:numCache>
                <c:formatCode>General</c:formatCode>
                <c:ptCount val="249"/>
                <c:pt idx="0">
                  <c:v>-15.895723757454483</c:v>
                </c:pt>
                <c:pt idx="1">
                  <c:v>88.149017444854991</c:v>
                </c:pt>
                <c:pt idx="2">
                  <c:v>92.484209658866277</c:v>
                </c:pt>
                <c:pt idx="3">
                  <c:v>92.484214402052828</c:v>
                </c:pt>
                <c:pt idx="4">
                  <c:v>129.33338379504818</c:v>
                </c:pt>
                <c:pt idx="5">
                  <c:v>182.80082083913328</c:v>
                </c:pt>
                <c:pt idx="6">
                  <c:v>221.09506378983903</c:v>
                </c:pt>
                <c:pt idx="7">
                  <c:v>261.55690521914414</c:v>
                </c:pt>
                <c:pt idx="8">
                  <c:v>376.43961509851368</c:v>
                </c:pt>
                <c:pt idx="9">
                  <c:v>432.79719451483396</c:v>
                </c:pt>
                <c:pt idx="10">
                  <c:v>582.3615085109077</c:v>
                </c:pt>
                <c:pt idx="11">
                  <c:v>711.69489704914236</c:v>
                </c:pt>
                <c:pt idx="12">
                  <c:v>872.09718446546594</c:v>
                </c:pt>
                <c:pt idx="13">
                  <c:v>1067.1810854848625</c:v>
                </c:pt>
                <c:pt idx="14">
                  <c:v>1314.2873120451441</c:v>
                </c:pt>
                <c:pt idx="15">
                  <c:v>1630.0342076883805</c:v>
                </c:pt>
                <c:pt idx="16">
                  <c:v>2007.1963429645964</c:v>
                </c:pt>
                <c:pt idx="17">
                  <c:v>2475.3977661239464</c:v>
                </c:pt>
                <c:pt idx="18">
                  <c:v>3038.2507365454858</c:v>
                </c:pt>
                <c:pt idx="19">
                  <c:v>3757.8937350042943</c:v>
                </c:pt>
                <c:pt idx="20">
                  <c:v>4614.8174645010977</c:v>
                </c:pt>
                <c:pt idx="21">
                  <c:v>5696.4494088859274</c:v>
                </c:pt>
                <c:pt idx="22">
                  <c:v>7017.2392128029032</c:v>
                </c:pt>
                <c:pt idx="23">
                  <c:v>8641.4931072876607</c:v>
                </c:pt>
                <c:pt idx="24">
                  <c:v>10643.63192284487</c:v>
                </c:pt>
                <c:pt idx="25">
                  <c:v>13087.961131600217</c:v>
                </c:pt>
                <c:pt idx="26">
                  <c:v>16124.766448335346</c:v>
                </c:pt>
                <c:pt idx="27">
                  <c:v>19829.915185839003</c:v>
                </c:pt>
                <c:pt idx="28">
                  <c:v>24417.276655914484</c:v>
                </c:pt>
                <c:pt idx="29">
                  <c:v>30077.598310422625</c:v>
                </c:pt>
                <c:pt idx="30">
                  <c:v>37058.712197359404</c:v>
                </c:pt>
                <c:pt idx="31">
                  <c:v>45636.62352900939</c:v>
                </c:pt>
                <c:pt idx="32">
                  <c:v>56179.824957426303</c:v>
                </c:pt>
                <c:pt idx="33">
                  <c:v>69233.825781345222</c:v>
                </c:pt>
                <c:pt idx="34">
                  <c:v>85242.26166199267</c:v>
                </c:pt>
                <c:pt idx="35">
                  <c:v>104971.02447829949</c:v>
                </c:pt>
                <c:pt idx="36">
                  <c:v>129274.14165599018</c:v>
                </c:pt>
                <c:pt idx="37">
                  <c:v>159300.44008515854</c:v>
                </c:pt>
                <c:pt idx="38">
                  <c:v>196107.72118017555</c:v>
                </c:pt>
                <c:pt idx="39">
                  <c:v>241527.57332589442</c:v>
                </c:pt>
                <c:pt idx="40">
                  <c:v>297455.22648490797</c:v>
                </c:pt>
                <c:pt idx="41">
                  <c:v>366308.27377348446</c:v>
                </c:pt>
                <c:pt idx="42">
                  <c:v>451200.84432104282</c:v>
                </c:pt>
                <c:pt idx="43">
                  <c:v>555604.66074852413</c:v>
                </c:pt>
                <c:pt idx="44">
                  <c:v>684294.25478012324</c:v>
                </c:pt>
                <c:pt idx="45">
                  <c:v>842732.0292234231</c:v>
                </c:pt>
                <c:pt idx="46">
                  <c:v>1037803.6501698268</c:v>
                </c:pt>
                <c:pt idx="47">
                  <c:v>1278098.5498105045</c:v>
                </c:pt>
                <c:pt idx="48">
                  <c:v>1574003.2978544431</c:v>
                </c:pt>
                <c:pt idx="49">
                  <c:v>1938441.6176151596</c:v>
                </c:pt>
                <c:pt idx="50">
                  <c:v>2387281.1714353003</c:v>
                </c:pt>
                <c:pt idx="51">
                  <c:v>1938474.1791000988</c:v>
                </c:pt>
                <c:pt idx="52">
                  <c:v>1574037.8798611206</c:v>
                </c:pt>
                <c:pt idx="53">
                  <c:v>1278137.5614225243</c:v>
                </c:pt>
                <c:pt idx="54">
                  <c:v>1037823.1171196494</c:v>
                </c:pt>
                <c:pt idx="55">
                  <c:v>842760.19995919603</c:v>
                </c:pt>
                <c:pt idx="56">
                  <c:v>684317.4130677412</c:v>
                </c:pt>
                <c:pt idx="57">
                  <c:v>555651.63787894358</c:v>
                </c:pt>
                <c:pt idx="58">
                  <c:v>451182.75676586438</c:v>
                </c:pt>
                <c:pt idx="59">
                  <c:v>366329.95552598574</c:v>
                </c:pt>
                <c:pt idx="60">
                  <c:v>297500.03738288651</c:v>
                </c:pt>
                <c:pt idx="61">
                  <c:v>241533.34346970485</c:v>
                </c:pt>
                <c:pt idx="62">
                  <c:v>196123.60364672574</c:v>
                </c:pt>
                <c:pt idx="63">
                  <c:v>159241.91295307077</c:v>
                </c:pt>
                <c:pt idx="64">
                  <c:v>129274.14165599018</c:v>
                </c:pt>
                <c:pt idx="65">
                  <c:v>104984.75042645534</c:v>
                </c:pt>
                <c:pt idx="66">
                  <c:v>85264.65739693529</c:v>
                </c:pt>
                <c:pt idx="67">
                  <c:v>69238.884371226552</c:v>
                </c:pt>
                <c:pt idx="68">
                  <c:v>56227.511213263555</c:v>
                </c:pt>
                <c:pt idx="69">
                  <c:v>45645.290887284144</c:v>
                </c:pt>
                <c:pt idx="70">
                  <c:v>37077.497949652607</c:v>
                </c:pt>
                <c:pt idx="71">
                  <c:v>30066.761076939525</c:v>
                </c:pt>
                <c:pt idx="72">
                  <c:v>24436.78610469581</c:v>
                </c:pt>
                <c:pt idx="73">
                  <c:v>19821.967881284749</c:v>
                </c:pt>
                <c:pt idx="74">
                  <c:v>16108.871232098863</c:v>
                </c:pt>
                <c:pt idx="75">
                  <c:v>13093.740989457825</c:v>
                </c:pt>
                <c:pt idx="76">
                  <c:v>10640.019511683837</c:v>
                </c:pt>
                <c:pt idx="77">
                  <c:v>8650.8859834342657</c:v>
                </c:pt>
                <c:pt idx="78">
                  <c:v>7018.684784395241</c:v>
                </c:pt>
                <c:pt idx="79">
                  <c:v>5705.8425885964898</c:v>
                </c:pt>
                <c:pt idx="80">
                  <c:v>4626.3780909082798</c:v>
                </c:pt>
                <c:pt idx="81">
                  <c:v>3741.2754294077067</c:v>
                </c:pt>
                <c:pt idx="82">
                  <c:v>3044.7535319812837</c:v>
                </c:pt>
                <c:pt idx="83">
                  <c:v>2464.5596978399603</c:v>
                </c:pt>
                <c:pt idx="84">
                  <c:v>1994.9133102161968</c:v>
                </c:pt>
                <c:pt idx="85">
                  <c:v>1615.5835764613812</c:v>
                </c:pt>
                <c:pt idx="86">
                  <c:v>1315.7324282915365</c:v>
                </c:pt>
                <c:pt idx="87">
                  <c:v>1049.1177015873811</c:v>
                </c:pt>
                <c:pt idx="88">
                  <c:v>861.98171225016688</c:v>
                </c:pt>
                <c:pt idx="89">
                  <c:v>694.35410922035112</c:v>
                </c:pt>
                <c:pt idx="90">
                  <c:v>565.02072068211646</c:v>
                </c:pt>
                <c:pt idx="91">
                  <c:v>513.72089634619113</c:v>
                </c:pt>
                <c:pt idx="92">
                  <c:v>368.49177930731435</c:v>
                </c:pt>
                <c:pt idx="93">
                  <c:v>361.26644472106869</c:v>
                </c:pt>
                <c:pt idx="94">
                  <c:v>225.43026074703684</c:v>
                </c:pt>
                <c:pt idx="95">
                  <c:v>226.87532007518686</c:v>
                </c:pt>
                <c:pt idx="96">
                  <c:v>227.59785922563617</c:v>
                </c:pt>
                <c:pt idx="97">
                  <c:v>180.63322236053477</c:v>
                </c:pt>
                <c:pt idx="98">
                  <c:v>144.50657788842747</c:v>
                </c:pt>
                <c:pt idx="99">
                  <c:v>117.7728617379786</c:v>
                </c:pt>
                <c:pt idx="100">
                  <c:v>-114.8827335953047</c:v>
                </c:pt>
                <c:pt idx="101">
                  <c:v>-117.05032733071666</c:v>
                </c:pt>
                <c:pt idx="102">
                  <c:v>-118.49539614524056</c:v>
                </c:pt>
                <c:pt idx="103">
                  <c:v>-117.7728617379786</c:v>
                </c:pt>
                <c:pt idx="104">
                  <c:v>-153.17697654601048</c:v>
                </c:pt>
                <c:pt idx="105">
                  <c:v>-266.61464132679043</c:v>
                </c:pt>
                <c:pt idx="106">
                  <c:v>-267.33716150449197</c:v>
                </c:pt>
                <c:pt idx="107">
                  <c:v>-397.39307970680204</c:v>
                </c:pt>
                <c:pt idx="108">
                  <c:v>-433.51973366528239</c:v>
                </c:pt>
                <c:pt idx="109">
                  <c:v>-595.36711835524898</c:v>
                </c:pt>
                <c:pt idx="110">
                  <c:v>-734.09343995832853</c:v>
                </c:pt>
                <c:pt idx="111">
                  <c:v>-896.66332585324642</c:v>
                </c:pt>
                <c:pt idx="112">
                  <c:v>-1078.7415980555566</c:v>
                </c:pt>
                <c:pt idx="113">
                  <c:v>-1351.8590443045205</c:v>
                </c:pt>
                <c:pt idx="114">
                  <c:v>-1648.8199599815803</c:v>
                </c:pt>
                <c:pt idx="115">
                  <c:v>-2020.9244160683993</c:v>
                </c:pt>
                <c:pt idx="116">
                  <c:v>-2492.7384021707539</c:v>
                </c:pt>
                <c:pt idx="117">
                  <c:v>-3054.1464081278796</c:v>
                </c:pt>
                <c:pt idx="118">
                  <c:v>-3770.1766918616963</c:v>
                </c:pt>
                <c:pt idx="119">
                  <c:v>-4630.7131360834919</c:v>
                </c:pt>
                <c:pt idx="120">
                  <c:v>-5702.9523561037049</c:v>
                </c:pt>
                <c:pt idx="121">
                  <c:v>-7014.3492838740849</c:v>
                </c:pt>
                <c:pt idx="122">
                  <c:v>-8632.8230169372709</c:v>
                </c:pt>
                <c:pt idx="123">
                  <c:v>-10640.741993916026</c:v>
                </c:pt>
                <c:pt idx="124">
                  <c:v>-13097.353400618858</c:v>
                </c:pt>
                <c:pt idx="125">
                  <c:v>-16134.882413842022</c:v>
                </c:pt>
                <c:pt idx="126">
                  <c:v>-19868.931654889886</c:v>
                </c:pt>
                <c:pt idx="127">
                  <c:v>-24433.172479278928</c:v>
                </c:pt>
                <c:pt idx="128">
                  <c:v>-30098.552723668257</c:v>
                </c:pt>
                <c:pt idx="129">
                  <c:v>-37050.763678549214</c:v>
                </c:pt>
                <c:pt idx="130">
                  <c:v>-45643.124654843341</c:v>
                </c:pt>
                <c:pt idx="131">
                  <c:v>-56179.824957426303</c:v>
                </c:pt>
                <c:pt idx="132">
                  <c:v>-69233.825781345222</c:v>
                </c:pt>
                <c:pt idx="133">
                  <c:v>-85242.26166199267</c:v>
                </c:pt>
                <c:pt idx="134">
                  <c:v>-104978.96571157458</c:v>
                </c:pt>
                <c:pt idx="135">
                  <c:v>-129271.25172706204</c:v>
                </c:pt>
                <c:pt idx="136">
                  <c:v>-159267.927170454</c:v>
                </c:pt>
                <c:pt idx="137">
                  <c:v>-196076.65565844698</c:v>
                </c:pt>
                <c:pt idx="138">
                  <c:v>-241532.62463024061</c:v>
                </c:pt>
                <c:pt idx="139">
                  <c:v>-297453.06025246705</c:v>
                </c:pt>
                <c:pt idx="140">
                  <c:v>-366286.59202098317</c:v>
                </c:pt>
                <c:pt idx="141">
                  <c:v>-451135.81849163224</c:v>
                </c:pt>
                <c:pt idx="142">
                  <c:v>-555584.45553113939</c:v>
                </c:pt>
                <c:pt idx="143">
                  <c:v>-684272.61188380932</c:v>
                </c:pt>
                <c:pt idx="144">
                  <c:v>-842669.85932377784</c:v>
                </c:pt>
                <c:pt idx="145">
                  <c:v>-1037780.5307383924</c:v>
                </c:pt>
                <c:pt idx="146">
                  <c:v>-1278076.1297904411</c:v>
                </c:pt>
                <c:pt idx="147">
                  <c:v>-1574003.9195534394</c:v>
                </c:pt>
                <c:pt idx="148">
                  <c:v>-1938453.1190465938</c:v>
                </c:pt>
                <c:pt idx="149">
                  <c:v>-2387266.0952346362</c:v>
                </c:pt>
                <c:pt idx="150">
                  <c:v>-1938492.1306586212</c:v>
                </c:pt>
                <c:pt idx="151">
                  <c:v>-1574046.5836470709</c:v>
                </c:pt>
                <c:pt idx="152">
                  <c:v>-1278099.3269342424</c:v>
                </c:pt>
                <c:pt idx="153">
                  <c:v>-1037796.384062802</c:v>
                </c:pt>
                <c:pt idx="154">
                  <c:v>-842680.00078865362</c:v>
                </c:pt>
                <c:pt idx="155">
                  <c:v>-684244.44114803255</c:v>
                </c:pt>
                <c:pt idx="156">
                  <c:v>-555620.57235721417</c:v>
                </c:pt>
                <c:pt idx="157">
                  <c:v>-451150.25356520648</c:v>
                </c:pt>
                <c:pt idx="158">
                  <c:v>-366322.00943568698</c:v>
                </c:pt>
                <c:pt idx="159">
                  <c:v>-297487.02056014829</c:v>
                </c:pt>
                <c:pt idx="160">
                  <c:v>-241594.04654828095</c:v>
                </c:pt>
                <c:pt idx="161">
                  <c:v>-196112.77248452173</c:v>
                </c:pt>
                <c:pt idx="162">
                  <c:v>-159258.53854420298</c:v>
                </c:pt>
                <c:pt idx="163">
                  <c:v>-129294.37115849264</c:v>
                </c:pt>
                <c:pt idx="164">
                  <c:v>-105034.61262878081</c:v>
                </c:pt>
                <c:pt idx="165">
                  <c:v>-85295.004079199629</c:v>
                </c:pt>
                <c:pt idx="166">
                  <c:v>-69263.446338609836</c:v>
                </c:pt>
                <c:pt idx="167">
                  <c:v>-56245.57448332457</c:v>
                </c:pt>
                <c:pt idx="168">
                  <c:v>-45673.473765619383</c:v>
                </c:pt>
                <c:pt idx="169">
                  <c:v>-37083.277807510218</c:v>
                </c:pt>
                <c:pt idx="170">
                  <c:v>-30137.570406974985</c:v>
                </c:pt>
                <c:pt idx="171">
                  <c:v>-24477.967591931483</c:v>
                </c:pt>
                <c:pt idx="172">
                  <c:v>-19867.487297553387</c:v>
                </c:pt>
                <c:pt idx="173">
                  <c:v>-16150.777630078504</c:v>
                </c:pt>
                <c:pt idx="174">
                  <c:v>-13134.924905205275</c:v>
                </c:pt>
                <c:pt idx="175">
                  <c:v>-10657.3596923847</c:v>
                </c:pt>
                <c:pt idx="176">
                  <c:v>-8674.0075398126028</c:v>
                </c:pt>
                <c:pt idx="177">
                  <c:v>-7033.1350361672849</c:v>
                </c:pt>
                <c:pt idx="178">
                  <c:v>-5722.460590629119</c:v>
                </c:pt>
                <c:pt idx="179">
                  <c:v>-4645.1639949834598</c:v>
                </c:pt>
                <c:pt idx="180">
                  <c:v>-3790.4077121832761</c:v>
                </c:pt>
                <c:pt idx="181">
                  <c:v>-3076.5451787100369</c:v>
                </c:pt>
                <c:pt idx="182">
                  <c:v>-2512.9693466013441</c:v>
                </c:pt>
                <c:pt idx="183">
                  <c:v>-2039.7103960345673</c:v>
                </c:pt>
                <c:pt idx="184">
                  <c:v>-1668.3284221799638</c:v>
                </c:pt>
                <c:pt idx="185">
                  <c:v>-1369.1998321333149</c:v>
                </c:pt>
                <c:pt idx="186">
                  <c:v>-1106.1978960451409</c:v>
                </c:pt>
                <c:pt idx="187">
                  <c:v>-911.83651520344176</c:v>
                </c:pt>
                <c:pt idx="188">
                  <c:v>-750.71170760941914</c:v>
                </c:pt>
                <c:pt idx="189">
                  <c:v>-624.26843772748452</c:v>
                </c:pt>
                <c:pt idx="190">
                  <c:v>-512.99835719574173</c:v>
                </c:pt>
                <c:pt idx="191">
                  <c:v>-416.17894583649115</c:v>
                </c:pt>
                <c:pt idx="192">
                  <c:v>-360.54390557062021</c:v>
                </c:pt>
                <c:pt idx="193">
                  <c:v>-283.95542915558173</c:v>
                </c:pt>
                <c:pt idx="194">
                  <c:v>-244.21610790397816</c:v>
                </c:pt>
                <c:pt idx="195">
                  <c:v>-222.54013260436295</c:v>
                </c:pt>
                <c:pt idx="196">
                  <c:v>-205.19934477557163</c:v>
                </c:pt>
                <c:pt idx="197">
                  <c:v>-151.73190773148656</c:v>
                </c:pt>
                <c:pt idx="198">
                  <c:v>-120.66299462383905</c:v>
                </c:pt>
                <c:pt idx="199">
                  <c:v>70.085692837208256</c:v>
                </c:pt>
                <c:pt idx="200">
                  <c:v>72.253288944213736</c:v>
                </c:pt>
                <c:pt idx="201">
                  <c:v>90.316615923454322</c:v>
                </c:pt>
                <c:pt idx="202">
                  <c:v>129.33338853823469</c:v>
                </c:pt>
                <c:pt idx="203">
                  <c:v>179.18816303238393</c:v>
                </c:pt>
                <c:pt idx="204">
                  <c:v>205.19933528919776</c:v>
                </c:pt>
                <c:pt idx="205">
                  <c:v>283.95541966920786</c:v>
                </c:pt>
                <c:pt idx="206">
                  <c:v>353.3185899571215</c:v>
                </c:pt>
                <c:pt idx="207">
                  <c:v>457.36331692987085</c:v>
                </c:pt>
                <c:pt idx="208">
                  <c:v>558.51794421906709</c:v>
                </c:pt>
                <c:pt idx="209">
                  <c:v>688.57387190775103</c:v>
                </c:pt>
                <c:pt idx="210">
                  <c:v>844.64096236687112</c:v>
                </c:pt>
                <c:pt idx="211">
                  <c:v>1048.3952573006727</c:v>
                </c:pt>
                <c:pt idx="212">
                  <c:v>1273.8255370204517</c:v>
                </c:pt>
                <c:pt idx="213">
                  <c:v>1592.4625513199933</c:v>
                </c:pt>
                <c:pt idx="214">
                  <c:v>1971.0697269516124</c:v>
                </c:pt>
                <c:pt idx="215">
                  <c:v>2443.6061952861824</c:v>
                </c:pt>
                <c:pt idx="216">
                  <c:v>2999.9565979448917</c:v>
                </c:pt>
                <c:pt idx="217">
                  <c:v>3710.9288989253373</c:v>
                </c:pt>
                <c:pt idx="218">
                  <c:v>4579.4135583932893</c:v>
                </c:pt>
                <c:pt idx="219">
                  <c:v>5649.4850281529234</c:v>
                </c:pt>
                <c:pt idx="220">
                  <c:v>6969.5523498376924</c:v>
                </c:pt>
                <c:pt idx="221">
                  <c:v>8604.6443884974578</c:v>
                </c:pt>
                <c:pt idx="222">
                  <c:v>10592.332648718626</c:v>
                </c:pt>
                <c:pt idx="223">
                  <c:v>13045.332251388307</c:v>
                </c:pt>
                <c:pt idx="224">
                  <c:v>16082.137568123433</c:v>
                </c:pt>
                <c:pt idx="225">
                  <c:v>19800.290985806929</c:v>
                </c:pt>
                <c:pt idx="226">
                  <c:v>24409.328137104378</c:v>
                </c:pt>
                <c:pt idx="227">
                  <c:v>30063.148665778492</c:v>
                </c:pt>
                <c:pt idx="228">
                  <c:v>37015.3608349153</c:v>
                </c:pt>
                <c:pt idx="229">
                  <c:v>45602.663221328155</c:v>
                </c:pt>
                <c:pt idx="230">
                  <c:v>56170.429045640049</c:v>
                </c:pt>
                <c:pt idx="231">
                  <c:v>69194.085615806383</c:v>
                </c:pt>
                <c:pt idx="232">
                  <c:v>85240.819126040442</c:v>
                </c:pt>
                <c:pt idx="233">
                  <c:v>104952.96120823879</c:v>
                </c:pt>
                <c:pt idx="234">
                  <c:v>129266.19070866845</c:v>
                </c:pt>
                <c:pt idx="235">
                  <c:v>159207.95750241325</c:v>
                </c:pt>
                <c:pt idx="236">
                  <c:v>196092.52841094974</c:v>
                </c:pt>
                <c:pt idx="237">
                  <c:v>241516.74216369042</c:v>
                </c:pt>
                <c:pt idx="238">
                  <c:v>297445.83300163329</c:v>
                </c:pt>
                <c:pt idx="239">
                  <c:v>366295.97579021053</c:v>
                </c:pt>
                <c:pt idx="240">
                  <c:v>451187.12808693358</c:v>
                </c:pt>
                <c:pt idx="241">
                  <c:v>555598.17176524864</c:v>
                </c:pt>
                <c:pt idx="242">
                  <c:v>684305.13451256126</c:v>
                </c:pt>
                <c:pt idx="243">
                  <c:v>842687.18918330397</c:v>
                </c:pt>
                <c:pt idx="244">
                  <c:v>1037768.2521832124</c:v>
                </c:pt>
                <c:pt idx="245">
                  <c:v>1278073.9927001446</c:v>
                </c:pt>
                <c:pt idx="246">
                  <c:v>1573993.0398210015</c:v>
                </c:pt>
                <c:pt idx="247">
                  <c:v>1938474.101387724</c:v>
                </c:pt>
                <c:pt idx="248">
                  <c:v>2387296.4030607133</c:v>
                </c:pt>
              </c:numCache>
            </c:numRef>
          </c:xVal>
          <c:yVal>
            <c:numRef>
              <c:f>'#6'!$H$9:$H$257</c:f>
              <c:numCache>
                <c:formatCode>General</c:formatCode>
                <c:ptCount val="249"/>
                <c:pt idx="0">
                  <c:v>7012.988377663557</c:v>
                </c:pt>
                <c:pt idx="1">
                  <c:v>7226.0106764515549</c:v>
                </c:pt>
                <c:pt idx="2">
                  <c:v>7498.8017522753116</c:v>
                </c:pt>
                <c:pt idx="3">
                  <c:v>7611.5832692729482</c:v>
                </c:pt>
                <c:pt idx="4">
                  <c:v>7681.1171614165423</c:v>
                </c:pt>
                <c:pt idx="5">
                  <c:v>7637.3054851885572</c:v>
                </c:pt>
                <c:pt idx="6">
                  <c:v>7583.8102263190303</c:v>
                </c:pt>
                <c:pt idx="7">
                  <c:v>7595.3476399396759</c:v>
                </c:pt>
                <c:pt idx="8">
                  <c:v>7520.2384854480715</c:v>
                </c:pt>
                <c:pt idx="9">
                  <c:v>7500.9857351379351</c:v>
                </c:pt>
                <c:pt idx="10">
                  <c:v>7902.3013648054111</c:v>
                </c:pt>
                <c:pt idx="11">
                  <c:v>8184.2663316156713</c:v>
                </c:pt>
                <c:pt idx="12">
                  <c:v>8696.8730833017416</c:v>
                </c:pt>
                <c:pt idx="13">
                  <c:v>8423.1056034133708</c:v>
                </c:pt>
                <c:pt idx="14">
                  <c:v>8774.7854195378732</c:v>
                </c:pt>
                <c:pt idx="15">
                  <c:v>9139.036628026679</c:v>
                </c:pt>
                <c:pt idx="16">
                  <c:v>9530.591786946643</c:v>
                </c:pt>
                <c:pt idx="17">
                  <c:v>10097.723054944216</c:v>
                </c:pt>
                <c:pt idx="18">
                  <c:v>10328.352409821455</c:v>
                </c:pt>
                <c:pt idx="19">
                  <c:v>11057.485846552674</c:v>
                </c:pt>
                <c:pt idx="20">
                  <c:v>12072.383562457586</c:v>
                </c:pt>
                <c:pt idx="21">
                  <c:v>12938.075281681717</c:v>
                </c:pt>
                <c:pt idx="22">
                  <c:v>14105.961723953855</c:v>
                </c:pt>
                <c:pt idx="23">
                  <c:v>16214.850835786752</c:v>
                </c:pt>
                <c:pt idx="24">
                  <c:v>18424.433544740175</c:v>
                </c:pt>
                <c:pt idx="25">
                  <c:v>21746.7061565931</c:v>
                </c:pt>
                <c:pt idx="26">
                  <c:v>24836.116510901742</c:v>
                </c:pt>
                <c:pt idx="27">
                  <c:v>29890.459532514673</c:v>
                </c:pt>
                <c:pt idx="28">
                  <c:v>36201.466725150312</c:v>
                </c:pt>
                <c:pt idx="29">
                  <c:v>44018.048309603793</c:v>
                </c:pt>
                <c:pt idx="30">
                  <c:v>54353.213474755408</c:v>
                </c:pt>
                <c:pt idx="31">
                  <c:v>66388.761582694657</c:v>
                </c:pt>
                <c:pt idx="32">
                  <c:v>80729.505355356348</c:v>
                </c:pt>
                <c:pt idx="33">
                  <c:v>95896.487602935318</c:v>
                </c:pt>
                <c:pt idx="34">
                  <c:v>111453.67092914303</c:v>
                </c:pt>
                <c:pt idx="35">
                  <c:v>128008.72608594029</c:v>
                </c:pt>
                <c:pt idx="36">
                  <c:v>143404.79614436071</c:v>
                </c:pt>
                <c:pt idx="37">
                  <c:v>158544.9588962475</c:v>
                </c:pt>
                <c:pt idx="38">
                  <c:v>172568.81367247328</c:v>
                </c:pt>
                <c:pt idx="39">
                  <c:v>185637.03983625621</c:v>
                </c:pt>
                <c:pt idx="40">
                  <c:v>197794.1652439546</c:v>
                </c:pt>
                <c:pt idx="41">
                  <c:v>207970.35446467661</c:v>
                </c:pt>
                <c:pt idx="42">
                  <c:v>216366.2814755516</c:v>
                </c:pt>
                <c:pt idx="43">
                  <c:v>222108.73974614864</c:v>
                </c:pt>
                <c:pt idx="44">
                  <c:v>224971.45170467976</c:v>
                </c:pt>
                <c:pt idx="45">
                  <c:v>226034.01517570086</c:v>
                </c:pt>
                <c:pt idx="46">
                  <c:v>223034.53763364427</c:v>
                </c:pt>
                <c:pt idx="47">
                  <c:v>215713.19162425559</c:v>
                </c:pt>
                <c:pt idx="48">
                  <c:v>204030.91335589925</c:v>
                </c:pt>
                <c:pt idx="49">
                  <c:v>186538.69473178854</c:v>
                </c:pt>
                <c:pt idx="50">
                  <c:v>161275.65026072762</c:v>
                </c:pt>
                <c:pt idx="51">
                  <c:v>186886.41147425995</c:v>
                </c:pt>
                <c:pt idx="52">
                  <c:v>204551.78896541355</c:v>
                </c:pt>
                <c:pt idx="53">
                  <c:v>216608.69492540858</c:v>
                </c:pt>
                <c:pt idx="54">
                  <c:v>223634.22015938806</c:v>
                </c:pt>
                <c:pt idx="55">
                  <c:v>227340.00673241849</c:v>
                </c:pt>
                <c:pt idx="56">
                  <c:v>227277.5888031729</c:v>
                </c:pt>
                <c:pt idx="57">
                  <c:v>224750.10992634704</c:v>
                </c:pt>
                <c:pt idx="58">
                  <c:v>220123.94829605968</c:v>
                </c:pt>
                <c:pt idx="59">
                  <c:v>213064.1293015336</c:v>
                </c:pt>
                <c:pt idx="60">
                  <c:v>203126.29790301863</c:v>
                </c:pt>
                <c:pt idx="61">
                  <c:v>193184.3738934409</c:v>
                </c:pt>
                <c:pt idx="62">
                  <c:v>181472.22982654852</c:v>
                </c:pt>
                <c:pt idx="63">
                  <c:v>170044.92432272452</c:v>
                </c:pt>
                <c:pt idx="64">
                  <c:v>157580.89114355098</c:v>
                </c:pt>
                <c:pt idx="65">
                  <c:v>146123.31586257339</c:v>
                </c:pt>
                <c:pt idx="66">
                  <c:v>134458.33641919901</c:v>
                </c:pt>
                <c:pt idx="67">
                  <c:v>123621.54458176368</c:v>
                </c:pt>
                <c:pt idx="68">
                  <c:v>113683.68708624628</c:v>
                </c:pt>
                <c:pt idx="69">
                  <c:v>105245.56608286939</c:v>
                </c:pt>
                <c:pt idx="70">
                  <c:v>96809.23049624938</c:v>
                </c:pt>
                <c:pt idx="71">
                  <c:v>89179.532479215181</c:v>
                </c:pt>
                <c:pt idx="72">
                  <c:v>83151.882423102623</c:v>
                </c:pt>
                <c:pt idx="73">
                  <c:v>77558.863144764313</c:v>
                </c:pt>
                <c:pt idx="74">
                  <c:v>73041.774205414797</c:v>
                </c:pt>
                <c:pt idx="75">
                  <c:v>68518.467254978241</c:v>
                </c:pt>
                <c:pt idx="76">
                  <c:v>64620.929604159828</c:v>
                </c:pt>
                <c:pt idx="77">
                  <c:v>61692.831781984147</c:v>
                </c:pt>
                <c:pt idx="78">
                  <c:v>58928.866865910939</c:v>
                </c:pt>
                <c:pt idx="79">
                  <c:v>56220.900593923943</c:v>
                </c:pt>
                <c:pt idx="80">
                  <c:v>54606.230110217286</c:v>
                </c:pt>
                <c:pt idx="81">
                  <c:v>52201.169871936188</c:v>
                </c:pt>
                <c:pt idx="82">
                  <c:v>51015.052931553982</c:v>
                </c:pt>
                <c:pt idx="83">
                  <c:v>49281.056094790241</c:v>
                </c:pt>
                <c:pt idx="84">
                  <c:v>48318.025053722449</c:v>
                </c:pt>
                <c:pt idx="85">
                  <c:v>47676.582295814806</c:v>
                </c:pt>
                <c:pt idx="86">
                  <c:v>47129.619561953667</c:v>
                </c:pt>
                <c:pt idx="87">
                  <c:v>46149.449365055414</c:v>
                </c:pt>
                <c:pt idx="88">
                  <c:v>45456.306272128299</c:v>
                </c:pt>
                <c:pt idx="89">
                  <c:v>45078.224648726115</c:v>
                </c:pt>
                <c:pt idx="90">
                  <c:v>44725.79075010572</c:v>
                </c:pt>
                <c:pt idx="91">
                  <c:v>44466.051780823625</c:v>
                </c:pt>
                <c:pt idx="92">
                  <c:v>43850.694682237874</c:v>
                </c:pt>
                <c:pt idx="93">
                  <c:v>43864.651026532898</c:v>
                </c:pt>
                <c:pt idx="94">
                  <c:v>43644.079952004417</c:v>
                </c:pt>
                <c:pt idx="95">
                  <c:v>43283.915750044893</c:v>
                </c:pt>
                <c:pt idx="96">
                  <c:v>43461.05875591965</c:v>
                </c:pt>
                <c:pt idx="97">
                  <c:v>43204.872471846204</c:v>
                </c:pt>
                <c:pt idx="98">
                  <c:v>42736.828055561382</c:v>
                </c:pt>
                <c:pt idx="99">
                  <c:v>42525.67710604515</c:v>
                </c:pt>
                <c:pt idx="100">
                  <c:v>42342.481101674312</c:v>
                </c:pt>
                <c:pt idx="101">
                  <c:v>42256.377475044399</c:v>
                </c:pt>
                <c:pt idx="102">
                  <c:v>42155.190588733582</c:v>
                </c:pt>
                <c:pt idx="103">
                  <c:v>42322.17220535771</c:v>
                </c:pt>
                <c:pt idx="104">
                  <c:v>41979.583447609453</c:v>
                </c:pt>
                <c:pt idx="105">
                  <c:v>41683.286067519781</c:v>
                </c:pt>
                <c:pt idx="106">
                  <c:v>41471.971691083025</c:v>
                </c:pt>
                <c:pt idx="107">
                  <c:v>41242.350775425257</c:v>
                </c:pt>
                <c:pt idx="108">
                  <c:v>41596.390856996521</c:v>
                </c:pt>
                <c:pt idx="109">
                  <c:v>41287.247295803296</c:v>
                </c:pt>
                <c:pt idx="110">
                  <c:v>40935.694545651866</c:v>
                </c:pt>
                <c:pt idx="111">
                  <c:v>40430.211928207464</c:v>
                </c:pt>
                <c:pt idx="112">
                  <c:v>40174.156529480664</c:v>
                </c:pt>
                <c:pt idx="113">
                  <c:v>39437.747448985137</c:v>
                </c:pt>
                <c:pt idx="114">
                  <c:v>39430.236672258761</c:v>
                </c:pt>
                <c:pt idx="115">
                  <c:v>39362.447331670213</c:v>
                </c:pt>
                <c:pt idx="116">
                  <c:v>38596.061680741172</c:v>
                </c:pt>
                <c:pt idx="117">
                  <c:v>38211.336358354041</c:v>
                </c:pt>
                <c:pt idx="118">
                  <c:v>36986.06648552668</c:v>
                </c:pt>
                <c:pt idx="119">
                  <c:v>35699.467721833578</c:v>
                </c:pt>
                <c:pt idx="120">
                  <c:v>34574.390193965606</c:v>
                </c:pt>
                <c:pt idx="121">
                  <c:v>33275.478673674559</c:v>
                </c:pt>
                <c:pt idx="122">
                  <c:v>30901.637344197388</c:v>
                </c:pt>
                <c:pt idx="123">
                  <c:v>28448.532125702237</c:v>
                </c:pt>
                <c:pt idx="124">
                  <c:v>24899.374378262561</c:v>
                </c:pt>
                <c:pt idx="125">
                  <c:v>20197.963302918033</c:v>
                </c:pt>
                <c:pt idx="126">
                  <c:v>14139.423471993345</c:v>
                </c:pt>
                <c:pt idx="127">
                  <c:v>4220.0440901824186</c:v>
                </c:pt>
                <c:pt idx="128">
                  <c:v>-7169.1541776710819</c:v>
                </c:pt>
                <c:pt idx="129">
                  <c:v>-23408.757917347517</c:v>
                </c:pt>
                <c:pt idx="130">
                  <c:v>-40639.614873456223</c:v>
                </c:pt>
                <c:pt idx="131">
                  <c:v>-62573.096996649256</c:v>
                </c:pt>
                <c:pt idx="132">
                  <c:v>-82053.930324827743</c:v>
                </c:pt>
                <c:pt idx="133">
                  <c:v>-102614.18122127798</c:v>
                </c:pt>
                <c:pt idx="134">
                  <c:v>-120224.82681217164</c:v>
                </c:pt>
                <c:pt idx="135">
                  <c:v>-138129.23183854728</c:v>
                </c:pt>
                <c:pt idx="136">
                  <c:v>-154622.30293173072</c:v>
                </c:pt>
                <c:pt idx="137">
                  <c:v>-170646.77068339114</c:v>
                </c:pt>
                <c:pt idx="138">
                  <c:v>-184258.14359727362</c:v>
                </c:pt>
                <c:pt idx="139">
                  <c:v>-196764.34094932646</c:v>
                </c:pt>
                <c:pt idx="140">
                  <c:v>-208158.68589230475</c:v>
                </c:pt>
                <c:pt idx="141">
                  <c:v>-216313.92808002178</c:v>
                </c:pt>
                <c:pt idx="142">
                  <c:v>-222730.3874492904</c:v>
                </c:pt>
                <c:pt idx="143">
                  <c:v>-225985.8539728632</c:v>
                </c:pt>
                <c:pt idx="144">
                  <c:v>-226494.38770231904</c:v>
                </c:pt>
                <c:pt idx="145">
                  <c:v>-223719.36164765732</c:v>
                </c:pt>
                <c:pt idx="146">
                  <c:v>-217006.78956626306</c:v>
                </c:pt>
                <c:pt idx="147">
                  <c:v>-204978.090497653</c:v>
                </c:pt>
                <c:pt idx="148">
                  <c:v>-187069.60557527115</c:v>
                </c:pt>
                <c:pt idx="149">
                  <c:v>-161912.78657537373</c:v>
                </c:pt>
                <c:pt idx="150">
                  <c:v>-187493.05465406465</c:v>
                </c:pt>
                <c:pt idx="151">
                  <c:v>-206016.4115997898</c:v>
                </c:pt>
                <c:pt idx="152">
                  <c:v>-217408.90961965235</c:v>
                </c:pt>
                <c:pt idx="153">
                  <c:v>-224872.63787171704</c:v>
                </c:pt>
                <c:pt idx="154">
                  <c:v>-227967.38776808456</c:v>
                </c:pt>
                <c:pt idx="155">
                  <c:v>-228000.20305781282</c:v>
                </c:pt>
                <c:pt idx="156">
                  <c:v>-225305.18245211939</c:v>
                </c:pt>
                <c:pt idx="157">
                  <c:v>-220426.91488855722</c:v>
                </c:pt>
                <c:pt idx="158">
                  <c:v>-212831.30781075745</c:v>
                </c:pt>
                <c:pt idx="159">
                  <c:v>-203177.47654886756</c:v>
                </c:pt>
                <c:pt idx="160">
                  <c:v>-192345.87105761506</c:v>
                </c:pt>
                <c:pt idx="161">
                  <c:v>-180788.8649962873</c:v>
                </c:pt>
                <c:pt idx="162">
                  <c:v>-168395.75868073944</c:v>
                </c:pt>
                <c:pt idx="163">
                  <c:v>-155613.93297857401</c:v>
                </c:pt>
                <c:pt idx="164">
                  <c:v>-143372.31395454914</c:v>
                </c:pt>
                <c:pt idx="165">
                  <c:v>-131242.63766200683</c:v>
                </c:pt>
                <c:pt idx="166">
                  <c:v>-120132.64679738619</c:v>
                </c:pt>
                <c:pt idx="167">
                  <c:v>-109308.49305000994</c:v>
                </c:pt>
                <c:pt idx="168">
                  <c:v>-99749.740354473266</c:v>
                </c:pt>
                <c:pt idx="169">
                  <c:v>-90700.459157170408</c:v>
                </c:pt>
                <c:pt idx="170">
                  <c:v>-82938.620810355715</c:v>
                </c:pt>
                <c:pt idx="171">
                  <c:v>-75904.644572776742</c:v>
                </c:pt>
                <c:pt idx="172">
                  <c:v>-70213.372131099502</c:v>
                </c:pt>
                <c:pt idx="173">
                  <c:v>-65078.207786939682</c:v>
                </c:pt>
                <c:pt idx="174">
                  <c:v>-59929.392172032531</c:v>
                </c:pt>
                <c:pt idx="175">
                  <c:v>-56349.860046298571</c:v>
                </c:pt>
                <c:pt idx="176">
                  <c:v>-52930.109536048505</c:v>
                </c:pt>
                <c:pt idx="177">
                  <c:v>-50145.096792688928</c:v>
                </c:pt>
                <c:pt idx="178">
                  <c:v>-47499.459722434767</c:v>
                </c:pt>
                <c:pt idx="179">
                  <c:v>-45649.429598854163</c:v>
                </c:pt>
                <c:pt idx="180">
                  <c:v>-43366.122234571209</c:v>
                </c:pt>
                <c:pt idx="181">
                  <c:v>-42147.381946060705</c:v>
                </c:pt>
                <c:pt idx="182">
                  <c:v>-40771.925027911195</c:v>
                </c:pt>
                <c:pt idx="183">
                  <c:v>-39729.477820837375</c:v>
                </c:pt>
                <c:pt idx="184">
                  <c:v>-38645.731607394962</c:v>
                </c:pt>
                <c:pt idx="185">
                  <c:v>-37664.706533224497</c:v>
                </c:pt>
                <c:pt idx="186">
                  <c:v>-36753.126757545149</c:v>
                </c:pt>
                <c:pt idx="187">
                  <c:v>-36207.727374302543</c:v>
                </c:pt>
                <c:pt idx="188">
                  <c:v>-35624.26986485305</c:v>
                </c:pt>
                <c:pt idx="189">
                  <c:v>-35238.621296478115</c:v>
                </c:pt>
                <c:pt idx="190">
                  <c:v>-34856.700844335821</c:v>
                </c:pt>
                <c:pt idx="191">
                  <c:v>-34234.202481727363</c:v>
                </c:pt>
                <c:pt idx="192">
                  <c:v>-34349.968227781283</c:v>
                </c:pt>
                <c:pt idx="193">
                  <c:v>-33760.763557889302</c:v>
                </c:pt>
                <c:pt idx="194">
                  <c:v>-33960.114041345085</c:v>
                </c:pt>
                <c:pt idx="195">
                  <c:v>-33772.081094285699</c:v>
                </c:pt>
                <c:pt idx="196">
                  <c:v>-33317.6918152898</c:v>
                </c:pt>
                <c:pt idx="197">
                  <c:v>-32965.003632673819</c:v>
                </c:pt>
                <c:pt idx="198">
                  <c:v>-32772.122378777982</c:v>
                </c:pt>
                <c:pt idx="199">
                  <c:v>-32673.934068567658</c:v>
                </c:pt>
                <c:pt idx="200">
                  <c:v>-32429.574022431221</c:v>
                </c:pt>
                <c:pt idx="201">
                  <c:v>-32366.206650026368</c:v>
                </c:pt>
                <c:pt idx="202">
                  <c:v>-31908.590576483271</c:v>
                </c:pt>
                <c:pt idx="203">
                  <c:v>-31935.994318640918</c:v>
                </c:pt>
                <c:pt idx="204">
                  <c:v>-31736.953311639863</c:v>
                </c:pt>
                <c:pt idx="205">
                  <c:v>-31545.181144239552</c:v>
                </c:pt>
                <c:pt idx="206">
                  <c:v>-31068.842016243529</c:v>
                </c:pt>
                <c:pt idx="207">
                  <c:v>-31331.614334800433</c:v>
                </c:pt>
                <c:pt idx="208">
                  <c:v>-30934.239341045584</c:v>
                </c:pt>
                <c:pt idx="209">
                  <c:v>-31003.448838584081</c:v>
                </c:pt>
                <c:pt idx="210">
                  <c:v>-30594.049894676118</c:v>
                </c:pt>
                <c:pt idx="211">
                  <c:v>-30184.331379688807</c:v>
                </c:pt>
                <c:pt idx="212">
                  <c:v>-29755.828809463121</c:v>
                </c:pt>
                <c:pt idx="213">
                  <c:v>-29439.766525611569</c:v>
                </c:pt>
                <c:pt idx="214">
                  <c:v>-29295.62751258464</c:v>
                </c:pt>
                <c:pt idx="215">
                  <c:v>-28476.301850129475</c:v>
                </c:pt>
                <c:pt idx="216">
                  <c:v>-27327.189290913</c:v>
                </c:pt>
                <c:pt idx="217">
                  <c:v>-26801.13069704291</c:v>
                </c:pt>
                <c:pt idx="218">
                  <c:v>-25652.43304357438</c:v>
                </c:pt>
                <c:pt idx="219">
                  <c:v>-24390.16707157046</c:v>
                </c:pt>
                <c:pt idx="220">
                  <c:v>-22599.522158122945</c:v>
                </c:pt>
                <c:pt idx="221">
                  <c:v>-20464.46611880976</c:v>
                </c:pt>
                <c:pt idx="222">
                  <c:v>-16856.386299657774</c:v>
                </c:pt>
                <c:pt idx="223">
                  <c:v>-12786.47365905199</c:v>
                </c:pt>
                <c:pt idx="224">
                  <c:v>-6594.0253470793532</c:v>
                </c:pt>
                <c:pt idx="225">
                  <c:v>433.87858532100552</c:v>
                </c:pt>
                <c:pt idx="226">
                  <c:v>11621.980693086007</c:v>
                </c:pt>
                <c:pt idx="227">
                  <c:v>23920.194436381778</c:v>
                </c:pt>
                <c:pt idx="228">
                  <c:v>38752.415885238617</c:v>
                </c:pt>
                <c:pt idx="229">
                  <c:v>55650.026931347762</c:v>
                </c:pt>
                <c:pt idx="230">
                  <c:v>73439.670537565296</c:v>
                </c:pt>
                <c:pt idx="231">
                  <c:v>91829.955152718903</c:v>
                </c:pt>
                <c:pt idx="232">
                  <c:v>109207.06845347946</c:v>
                </c:pt>
                <c:pt idx="233">
                  <c:v>126199.69653302676</c:v>
                </c:pt>
                <c:pt idx="234">
                  <c:v>142223.2605999092</c:v>
                </c:pt>
                <c:pt idx="235">
                  <c:v>158151.32189605598</c:v>
                </c:pt>
                <c:pt idx="236">
                  <c:v>172807.52489137251</c:v>
                </c:pt>
                <c:pt idx="237">
                  <c:v>186156.42094721392</c:v>
                </c:pt>
                <c:pt idx="238">
                  <c:v>198312.46251257899</c:v>
                </c:pt>
                <c:pt idx="239">
                  <c:v>208824.69864423692</c:v>
                </c:pt>
                <c:pt idx="240">
                  <c:v>217166.96764715982</c:v>
                </c:pt>
                <c:pt idx="241">
                  <c:v>222481.04484068969</c:v>
                </c:pt>
                <c:pt idx="242">
                  <c:v>226331.19528060762</c:v>
                </c:pt>
                <c:pt idx="243">
                  <c:v>226235.99479996829</c:v>
                </c:pt>
                <c:pt idx="244">
                  <c:v>222961.98285939926</c:v>
                </c:pt>
                <c:pt idx="245">
                  <c:v>216279.19773269029</c:v>
                </c:pt>
                <c:pt idx="246">
                  <c:v>204174.90698521145</c:v>
                </c:pt>
                <c:pt idx="247">
                  <c:v>186997.32638745956</c:v>
                </c:pt>
                <c:pt idx="248">
                  <c:v>161596.29668237502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B99-4317-9351-C1C2B1B8E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4281199"/>
        <c:axId val="1874297519"/>
      </c:scatterChart>
      <c:valAx>
        <c:axId val="187428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 (A/m)</a:t>
                </a:r>
              </a:p>
            </c:rich>
          </c:tx>
          <c:layout>
            <c:manualLayout>
              <c:xMode val="edge"/>
              <c:yMode val="edge"/>
              <c:x val="0.37570208071817107"/>
              <c:y val="0.910834214216373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297519"/>
        <c:crosses val="autoZero"/>
        <c:crossBetween val="midCat"/>
      </c:valAx>
      <c:valAx>
        <c:axId val="187429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 (A/m)</a:t>
                </a:r>
              </a:p>
            </c:rich>
          </c:tx>
          <c:layout>
            <c:manualLayout>
              <c:xMode val="edge"/>
              <c:yMode val="edge"/>
              <c:x val="1.2802008444596599E-2"/>
              <c:y val="0.35646640060403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281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Glass Substrate</c:v>
          </c:tx>
          <c:spPr>
            <a:ln w="1905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'Glass Substrate'!$G$9:$G$257</c:f>
              <c:numCache>
                <c:formatCode>General</c:formatCode>
                <c:ptCount val="249"/>
                <c:pt idx="0">
                  <c:v>33.959047179304676</c:v>
                </c:pt>
                <c:pt idx="1">
                  <c:v>36.126644472106868</c:v>
                </c:pt>
                <c:pt idx="2">
                  <c:v>70.808224872876778</c:v>
                </c:pt>
                <c:pt idx="3">
                  <c:v>89.594076773005014</c:v>
                </c:pt>
                <c:pt idx="4">
                  <c:v>140.17138093122966</c:v>
                </c:pt>
                <c:pt idx="5">
                  <c:v>164.01497368219194</c:v>
                </c:pt>
                <c:pt idx="6">
                  <c:v>203.75426647467387</c:v>
                </c:pt>
                <c:pt idx="7">
                  <c:v>293.34835273405281</c:v>
                </c:pt>
                <c:pt idx="8">
                  <c:v>335.97780212833027</c:v>
                </c:pt>
                <c:pt idx="9">
                  <c:v>466.03371084426652</c:v>
                </c:pt>
                <c:pt idx="10">
                  <c:v>576.58123325281213</c:v>
                </c:pt>
                <c:pt idx="11">
                  <c:v>704.4695814356445</c:v>
                </c:pt>
                <c:pt idx="12">
                  <c:v>861.25923001796787</c:v>
                </c:pt>
                <c:pt idx="13">
                  <c:v>1059.2332117481708</c:v>
                </c:pt>
                <c:pt idx="14">
                  <c:v>1308.5070747325424</c:v>
                </c:pt>
                <c:pt idx="15">
                  <c:v>1627.866609209781</c:v>
                </c:pt>
                <c:pt idx="16">
                  <c:v>2005.7513026091935</c:v>
                </c:pt>
                <c:pt idx="17">
                  <c:v>2475.3976902329568</c:v>
                </c:pt>
                <c:pt idx="18">
                  <c:v>3032.4705751238735</c:v>
                </c:pt>
                <c:pt idx="19">
                  <c:v>3754.2808684973152</c:v>
                </c:pt>
                <c:pt idx="20">
                  <c:v>4611.9275355722702</c:v>
                </c:pt>
                <c:pt idx="21">
                  <c:v>5681.2763713177201</c:v>
                </c:pt>
                <c:pt idx="22">
                  <c:v>7006.4013721918936</c:v>
                </c:pt>
                <c:pt idx="23">
                  <c:v>8632.1005347050796</c:v>
                </c:pt>
                <c:pt idx="24">
                  <c:v>10622.678723855011</c:v>
                </c:pt>
                <c:pt idx="25">
                  <c:v>13074.955237164615</c:v>
                </c:pt>
                <c:pt idx="26">
                  <c:v>16105.259428065794</c:v>
                </c:pt>
                <c:pt idx="27">
                  <c:v>19822.69036351702</c:v>
                </c:pt>
                <c:pt idx="28">
                  <c:v>24404.270761478965</c:v>
                </c:pt>
                <c:pt idx="29">
                  <c:v>30075.433292237671</c:v>
                </c:pt>
                <c:pt idx="30">
                  <c:v>37052.932339501713</c:v>
                </c:pt>
                <c:pt idx="31">
                  <c:v>45638.792189961809</c:v>
                </c:pt>
                <c:pt idx="32">
                  <c:v>56187.771047724716</c:v>
                </c:pt>
                <c:pt idx="33">
                  <c:v>69237.439406762103</c:v>
                </c:pt>
                <c:pt idx="34">
                  <c:v>85238.648036575789</c:v>
                </c:pt>
                <c:pt idx="35">
                  <c:v>104979.69426508626</c:v>
                </c:pt>
                <c:pt idx="36">
                  <c:v>129284.98253224083</c:v>
                </c:pt>
                <c:pt idx="37">
                  <c:v>159285.98558349101</c:v>
                </c:pt>
                <c:pt idx="38">
                  <c:v>196130.8308975595</c:v>
                </c:pt>
                <c:pt idx="39">
                  <c:v>241550.69275732501</c:v>
                </c:pt>
                <c:pt idx="40">
                  <c:v>297484.84461366071</c:v>
                </c:pt>
                <c:pt idx="41">
                  <c:v>366352.35611795209</c:v>
                </c:pt>
                <c:pt idx="42">
                  <c:v>451159.65676252783</c:v>
                </c:pt>
                <c:pt idx="43">
                  <c:v>555635.00743078836</c:v>
                </c:pt>
                <c:pt idx="44">
                  <c:v>684305.13451256126</c:v>
                </c:pt>
                <c:pt idx="45">
                  <c:v>842738.51820670243</c:v>
                </c:pt>
                <c:pt idx="46">
                  <c:v>1037815.9287250068</c:v>
                </c:pt>
                <c:pt idx="47">
                  <c:v>1278126.6816900864</c:v>
                </c:pt>
                <c:pt idx="48">
                  <c:v>1574017.5969313614</c:v>
                </c:pt>
                <c:pt idx="49">
                  <c:v>1938448.1454546223</c:v>
                </c:pt>
                <c:pt idx="50">
                  <c:v>2387312.3340974976</c:v>
                </c:pt>
                <c:pt idx="51">
                  <c:v>1938478.5309930739</c:v>
                </c:pt>
                <c:pt idx="52">
                  <c:v>1574038.5792724916</c:v>
                </c:pt>
                <c:pt idx="53">
                  <c:v>1278116.6179375851</c:v>
                </c:pt>
                <c:pt idx="54">
                  <c:v>1037810.100296915</c:v>
                </c:pt>
                <c:pt idx="55">
                  <c:v>842743.60836723202</c:v>
                </c:pt>
                <c:pt idx="56">
                  <c:v>684301.52088714438</c:v>
                </c:pt>
                <c:pt idx="57">
                  <c:v>555604.66074852413</c:v>
                </c:pt>
                <c:pt idx="58">
                  <c:v>451149.51529764821</c:v>
                </c:pt>
                <c:pt idx="59">
                  <c:v>366299.60884372139</c:v>
                </c:pt>
                <c:pt idx="60">
                  <c:v>297435.73039294092</c:v>
                </c:pt>
                <c:pt idx="61">
                  <c:v>241518.17984261972</c:v>
                </c:pt>
                <c:pt idx="62">
                  <c:v>196135.17307648726</c:v>
                </c:pt>
                <c:pt idx="63">
                  <c:v>159229.63439789083</c:v>
                </c:pt>
                <c:pt idx="64">
                  <c:v>129287.1536217055</c:v>
                </c:pt>
                <c:pt idx="65">
                  <c:v>104975.35694318141</c:v>
                </c:pt>
                <c:pt idx="66">
                  <c:v>85283.454077531365</c:v>
                </c:pt>
                <c:pt idx="67">
                  <c:v>69230.212155928341</c:v>
                </c:pt>
                <c:pt idx="68">
                  <c:v>56182.714886355148</c:v>
                </c:pt>
                <c:pt idx="69">
                  <c:v>45601.941953351816</c:v>
                </c:pt>
                <c:pt idx="70">
                  <c:v>37054.377303966095</c:v>
                </c:pt>
                <c:pt idx="71">
                  <c:v>30077.599524678473</c:v>
                </c:pt>
                <c:pt idx="72">
                  <c:v>24391.266081299287</c:v>
                </c:pt>
                <c:pt idx="73">
                  <c:v>19803.90461122381</c:v>
                </c:pt>
                <c:pt idx="74">
                  <c:v>16074.9115315456</c:v>
                </c:pt>
                <c:pt idx="75">
                  <c:v>13063.395521449322</c:v>
                </c:pt>
                <c:pt idx="76">
                  <c:v>10609.673436547451</c:v>
                </c:pt>
                <c:pt idx="77">
                  <c:v>8614.037264644061</c:v>
                </c:pt>
                <c:pt idx="78">
                  <c:v>6991.2280310597198</c:v>
                </c:pt>
                <c:pt idx="79">
                  <c:v>5661.7678332283467</c:v>
                </c:pt>
                <c:pt idx="80">
                  <c:v>4596.0317122078977</c:v>
                </c:pt>
                <c:pt idx="81">
                  <c:v>3710.2065684751174</c:v>
                </c:pt>
                <c:pt idx="82">
                  <c:v>3000.6790801770985</c:v>
                </c:pt>
                <c:pt idx="83">
                  <c:v>2442.161154930779</c:v>
                </c:pt>
                <c:pt idx="84">
                  <c:v>1967.4570122266207</c:v>
                </c:pt>
                <c:pt idx="85">
                  <c:v>1591.7399931967971</c:v>
                </c:pt>
                <c:pt idx="86">
                  <c:v>1291.1662869037477</c:v>
                </c:pt>
                <c:pt idx="87">
                  <c:v>1025.2742321592768</c:v>
                </c:pt>
                <c:pt idx="88">
                  <c:v>821.51989927998432</c:v>
                </c:pt>
                <c:pt idx="89">
                  <c:v>664.73028864316268</c:v>
                </c:pt>
                <c:pt idx="90">
                  <c:v>537.56446063803173</c:v>
                </c:pt>
                <c:pt idx="91">
                  <c:v>503.60544310364463</c:v>
                </c:pt>
                <c:pt idx="92">
                  <c:v>327.30740821393465</c:v>
                </c:pt>
                <c:pt idx="93">
                  <c:v>324.41727058488681</c:v>
                </c:pt>
                <c:pt idx="94">
                  <c:v>291.18076374182817</c:v>
                </c:pt>
                <c:pt idx="95">
                  <c:v>257.94424741239482</c:v>
                </c:pt>
                <c:pt idx="96">
                  <c:v>127.16579005963619</c:v>
                </c:pt>
                <c:pt idx="97">
                  <c:v>119.21793055250251</c:v>
                </c:pt>
                <c:pt idx="98">
                  <c:v>122.10805869517642</c:v>
                </c:pt>
                <c:pt idx="99">
                  <c:v>122.10805869517642</c:v>
                </c:pt>
                <c:pt idx="100">
                  <c:v>-139.44884652396772</c:v>
                </c:pt>
                <c:pt idx="101">
                  <c:v>-143.06150907390358</c:v>
                </c:pt>
                <c:pt idx="102">
                  <c:v>-145.22911229568942</c:v>
                </c:pt>
                <c:pt idx="103">
                  <c:v>-138.72631685989231</c:v>
                </c:pt>
                <c:pt idx="104">
                  <c:v>-158.23470316728287</c:v>
                </c:pt>
                <c:pt idx="105">
                  <c:v>-216.03732768219274</c:v>
                </c:pt>
                <c:pt idx="106">
                  <c:v>-252.16398164067309</c:v>
                </c:pt>
                <c:pt idx="107">
                  <c:v>-422.68176024503521</c:v>
                </c:pt>
                <c:pt idx="108">
                  <c:v>-425.57189787408305</c:v>
                </c:pt>
                <c:pt idx="109">
                  <c:v>-628.60359673918674</c:v>
                </c:pt>
                <c:pt idx="110">
                  <c:v>-665.45280882086411</c:v>
                </c:pt>
                <c:pt idx="111">
                  <c:v>-920.50690911783886</c:v>
                </c:pt>
                <c:pt idx="112">
                  <c:v>-1117.0358504926385</c:v>
                </c:pt>
                <c:pt idx="113">
                  <c:v>-1371.3674306119144</c:v>
                </c:pt>
                <c:pt idx="114">
                  <c:v>-1676.998816094361</c:v>
                </c:pt>
                <c:pt idx="115">
                  <c:v>-2056.3285498491764</c:v>
                </c:pt>
                <c:pt idx="116">
                  <c:v>-2521.6399681887096</c:v>
                </c:pt>
                <c:pt idx="117">
                  <c:v>-3082.3253401316492</c:v>
                </c:pt>
                <c:pt idx="118">
                  <c:v>-3796.1877218229015</c:v>
                </c:pt>
                <c:pt idx="119">
                  <c:v>-4659.6147021014476</c:v>
                </c:pt>
                <c:pt idx="120">
                  <c:v>-5728.2407520507231</c:v>
                </c:pt>
                <c:pt idx="121">
                  <c:v>-7042.527912313888</c:v>
                </c:pt>
                <c:pt idx="122">
                  <c:v>-8657.388930652105</c:v>
                </c:pt>
                <c:pt idx="123">
                  <c:v>-10660.250228441426</c:v>
                </c:pt>
                <c:pt idx="124">
                  <c:v>-13126.254511290863</c:v>
                </c:pt>
                <c:pt idx="125">
                  <c:v>-16163.060435153953</c:v>
                </c:pt>
                <c:pt idx="126">
                  <c:v>-19897.110890457578</c:v>
                </c:pt>
                <c:pt idx="127">
                  <c:v>-24463.519161543278</c:v>
                </c:pt>
                <c:pt idx="128">
                  <c:v>-30126.730744980181</c:v>
                </c:pt>
                <c:pt idx="129">
                  <c:v>-37096.283701945817</c:v>
                </c:pt>
                <c:pt idx="130">
                  <c:v>-45648.906941212721</c:v>
                </c:pt>
                <c:pt idx="131">
                  <c:v>-56222.452623382291</c:v>
                </c:pt>
                <c:pt idx="132">
                  <c:v>-69260.558838192679</c:v>
                </c:pt>
                <c:pt idx="133">
                  <c:v>-85285.615452948608</c:v>
                </c:pt>
                <c:pt idx="134">
                  <c:v>-105000.65717812249</c:v>
                </c:pt>
                <c:pt idx="135">
                  <c:v>-129300.87471283764</c:v>
                </c:pt>
                <c:pt idx="136">
                  <c:v>-159272.98333182308</c:v>
                </c:pt>
                <c:pt idx="137">
                  <c:v>-196094.70435743732</c:v>
                </c:pt>
                <c:pt idx="138">
                  <c:v>-241560.08624059972</c:v>
                </c:pt>
                <c:pt idx="139">
                  <c:v>-297478.35563038522</c:v>
                </c:pt>
                <c:pt idx="140">
                  <c:v>-366384.15990723897</c:v>
                </c:pt>
                <c:pt idx="141">
                  <c:v>-451116.29325752525</c:v>
                </c:pt>
                <c:pt idx="142">
                  <c:v>-555585.89321006869</c:v>
                </c:pt>
                <c:pt idx="143">
                  <c:v>-684248.75418482046</c:v>
                </c:pt>
                <c:pt idx="144">
                  <c:v>-842669.89817996905</c:v>
                </c:pt>
                <c:pt idx="145">
                  <c:v>-1037798.5600092895</c:v>
                </c:pt>
                <c:pt idx="146">
                  <c:v>-1278068.2031282363</c:v>
                </c:pt>
                <c:pt idx="147">
                  <c:v>-1574036.4810383786</c:v>
                </c:pt>
                <c:pt idx="148">
                  <c:v>-1938470.4489061199</c:v>
                </c:pt>
                <c:pt idx="149">
                  <c:v>-2387286.9998633922</c:v>
                </c:pt>
                <c:pt idx="150">
                  <c:v>-1938455.2949930814</c:v>
                </c:pt>
                <c:pt idx="151">
                  <c:v>-1574025.6790183152</c:v>
                </c:pt>
                <c:pt idx="152">
                  <c:v>-1278081.9970747242</c:v>
                </c:pt>
                <c:pt idx="153">
                  <c:v>-1037792.1098822013</c:v>
                </c:pt>
                <c:pt idx="154">
                  <c:v>-842680.00078865362</c:v>
                </c:pt>
                <c:pt idx="155">
                  <c:v>-684248.05477344943</c:v>
                </c:pt>
                <c:pt idx="156">
                  <c:v>-555603.94190905977</c:v>
                </c:pt>
                <c:pt idx="157">
                  <c:v>-451153.14835115831</c:v>
                </c:pt>
                <c:pt idx="158">
                  <c:v>-366325.62306110462</c:v>
                </c:pt>
                <c:pt idx="159">
                  <c:v>-297514.48217050737</c:v>
                </c:pt>
                <c:pt idx="160">
                  <c:v>-241599.09785262714</c:v>
                </c:pt>
                <c:pt idx="161">
                  <c:v>-196135.16336244065</c:v>
                </c:pt>
                <c:pt idx="162">
                  <c:v>-159252.03013283349</c:v>
                </c:pt>
                <c:pt idx="163">
                  <c:v>-129277.75042438415</c:v>
                </c:pt>
                <c:pt idx="164">
                  <c:v>-105035.32661122215</c:v>
                </c:pt>
                <c:pt idx="165">
                  <c:v>-85300.065097592422</c:v>
                </c:pt>
                <c:pt idx="166">
                  <c:v>-69249.717961942035</c:v>
                </c:pt>
                <c:pt idx="167">
                  <c:v>-56237.623536002771</c:v>
                </c:pt>
                <c:pt idx="168">
                  <c:v>-45679.251194965371</c:v>
                </c:pt>
                <c:pt idx="169">
                  <c:v>-37108.567114149148</c:v>
                </c:pt>
                <c:pt idx="170">
                  <c:v>-30121.674583610533</c:v>
                </c:pt>
                <c:pt idx="171">
                  <c:v>-24483.749878300867</c:v>
                </c:pt>
                <c:pt idx="172">
                  <c:v>-19884.828085382134</c:v>
                </c:pt>
                <c:pt idx="173">
                  <c:v>-16155.113130599693</c:v>
                </c:pt>
                <c:pt idx="174">
                  <c:v>-13121.919617897636</c:v>
                </c:pt>
                <c:pt idx="175">
                  <c:v>-10663.140764498234</c:v>
                </c:pt>
                <c:pt idx="176">
                  <c:v>-8655.2211803915106</c:v>
                </c:pt>
                <c:pt idx="177">
                  <c:v>-7038.1927153566903</c:v>
                </c:pt>
                <c:pt idx="178">
                  <c:v>-5744.8590576473107</c:v>
                </c:pt>
                <c:pt idx="179">
                  <c:v>-4670.4526944944446</c:v>
                </c:pt>
                <c:pt idx="180">
                  <c:v>-3783.1822827332921</c:v>
                </c:pt>
                <c:pt idx="181">
                  <c:v>-3077.2676609422438</c:v>
                </c:pt>
                <c:pt idx="182">
                  <c:v>-2502.8539123315436</c:v>
                </c:pt>
                <c:pt idx="183">
                  <c:v>-2037.5427975559683</c:v>
                </c:pt>
                <c:pt idx="184">
                  <c:v>-1659.6580282655664</c:v>
                </c:pt>
                <c:pt idx="185">
                  <c:v>-1356.9167993849151</c:v>
                </c:pt>
                <c:pt idx="186">
                  <c:v>-1134.3766383214331</c:v>
                </c:pt>
                <c:pt idx="187">
                  <c:v>-900.27600263274758</c:v>
                </c:pt>
                <c:pt idx="188">
                  <c:v>-747.8215510076235</c:v>
                </c:pt>
                <c:pt idx="189">
                  <c:v>-618.48818144213658</c:v>
                </c:pt>
                <c:pt idx="190">
                  <c:v>-505.77302260949614</c:v>
                </c:pt>
                <c:pt idx="191">
                  <c:v>-423.40428042273675</c:v>
                </c:pt>
                <c:pt idx="192">
                  <c:v>-331.64260517113246</c:v>
                </c:pt>
                <c:pt idx="193">
                  <c:v>-294.07089188450209</c:v>
                </c:pt>
                <c:pt idx="194">
                  <c:v>-260.83436606869486</c:v>
                </c:pt>
                <c:pt idx="195">
                  <c:v>-197.2514900116245</c:v>
                </c:pt>
                <c:pt idx="196">
                  <c:v>-177.74309421786</c:v>
                </c:pt>
                <c:pt idx="197">
                  <c:v>-147.39671551747526</c:v>
                </c:pt>
                <c:pt idx="198">
                  <c:v>-140.89391059530428</c:v>
                </c:pt>
                <c:pt idx="199">
                  <c:v>49.132235343700494</c:v>
                </c:pt>
                <c:pt idx="200">
                  <c:v>88.871547108930415</c:v>
                </c:pt>
                <c:pt idx="201">
                  <c:v>85.981414223069152</c:v>
                </c:pt>
                <c:pt idx="202">
                  <c:v>124.99819158103688</c:v>
                </c:pt>
                <c:pt idx="203">
                  <c:v>164.01496419581807</c:v>
                </c:pt>
                <c:pt idx="204">
                  <c:v>220.37253412576445</c:v>
                </c:pt>
                <c:pt idx="205">
                  <c:v>257.22169877557241</c:v>
                </c:pt>
                <c:pt idx="206">
                  <c:v>368.49177930731435</c:v>
                </c:pt>
                <c:pt idx="207">
                  <c:v>456.64079675216931</c:v>
                </c:pt>
                <c:pt idx="208">
                  <c:v>550.57007048237301</c:v>
                </c:pt>
                <c:pt idx="209">
                  <c:v>699.41182635525047</c:v>
                </c:pt>
                <c:pt idx="210">
                  <c:v>853.31135628126833</c:v>
                </c:pt>
                <c:pt idx="211">
                  <c:v>1062.1233683499665</c:v>
                </c:pt>
                <c:pt idx="212">
                  <c:v>1307.7845925003353</c:v>
                </c:pt>
                <c:pt idx="213">
                  <c:v>1628.5891673329772</c:v>
                </c:pt>
                <c:pt idx="214">
                  <c:v>2003.583704130594</c:v>
                </c:pt>
                <c:pt idx="215">
                  <c:v>2471.0624173847691</c:v>
                </c:pt>
                <c:pt idx="216">
                  <c:v>3033.193209138059</c:v>
                </c:pt>
                <c:pt idx="217">
                  <c:v>3746.3331085971122</c:v>
                </c:pt>
                <c:pt idx="218">
                  <c:v>4612.6501695864645</c:v>
                </c:pt>
                <c:pt idx="219">
                  <c:v>5681.2760677537535</c:v>
                </c:pt>
                <c:pt idx="220">
                  <c:v>7005.6788899596868</c:v>
                </c:pt>
                <c:pt idx="221">
                  <c:v>8645.8286078088495</c:v>
                </c:pt>
                <c:pt idx="222">
                  <c:v>10631.349117769423</c:v>
                </c:pt>
                <c:pt idx="223">
                  <c:v>13086.515560007874</c:v>
                </c:pt>
                <c:pt idx="224">
                  <c:v>16105.258213809864</c:v>
                </c:pt>
                <c:pt idx="225">
                  <c:v>19814.742451834794</c:v>
                </c:pt>
                <c:pt idx="226">
                  <c:v>24413.663030497686</c:v>
                </c:pt>
                <c:pt idx="227">
                  <c:v>30080.490667863167</c:v>
                </c:pt>
                <c:pt idx="228">
                  <c:v>37068.826948610229</c:v>
                </c:pt>
                <c:pt idx="229">
                  <c:v>45615.667901507833</c:v>
                </c:pt>
                <c:pt idx="230">
                  <c:v>56200.052031416351</c:v>
                </c:pt>
                <c:pt idx="231">
                  <c:v>69201.31043812845</c:v>
                </c:pt>
                <c:pt idx="232">
                  <c:v>85227.088320860872</c:v>
                </c:pt>
                <c:pt idx="233">
                  <c:v>104945.72910038132</c:v>
                </c:pt>
                <c:pt idx="234">
                  <c:v>129286.42021117012</c:v>
                </c:pt>
                <c:pt idx="235">
                  <c:v>159212.2899672944</c:v>
                </c:pt>
                <c:pt idx="236">
                  <c:v>196105.55494773461</c:v>
                </c:pt>
                <c:pt idx="237">
                  <c:v>241523.2408610133</c:v>
                </c:pt>
                <c:pt idx="238">
                  <c:v>297436.44923240592</c:v>
                </c:pt>
                <c:pt idx="239">
                  <c:v>366311.90682699537</c:v>
                </c:pt>
                <c:pt idx="240">
                  <c:v>451164.00865550298</c:v>
                </c:pt>
                <c:pt idx="241">
                  <c:v>555588.06915655627</c:v>
                </c:pt>
                <c:pt idx="242">
                  <c:v>684261.07159618766</c:v>
                </c:pt>
                <c:pt idx="243">
                  <c:v>842703.85848764249</c:v>
                </c:pt>
                <c:pt idx="244">
                  <c:v>1037784.105507622</c:v>
                </c:pt>
                <c:pt idx="245">
                  <c:v>1278090.6231482921</c:v>
                </c:pt>
                <c:pt idx="246">
                  <c:v>1573994.5940684925</c:v>
                </c:pt>
                <c:pt idx="247">
                  <c:v>1938468.3506720071</c:v>
                </c:pt>
                <c:pt idx="248">
                  <c:v>2387270.3694152371</c:v>
                </c:pt>
              </c:numCache>
            </c:numRef>
          </c:xVal>
          <c:yVal>
            <c:numRef>
              <c:f>'Glass Substrate'!$H$9:$H$257</c:f>
              <c:numCache>
                <c:formatCode>General</c:formatCode>
                <c:ptCount val="249"/>
                <c:pt idx="0">
                  <c:v>2.9304070183057418E-2</c:v>
                </c:pt>
                <c:pt idx="1">
                  <c:v>2.219067092638502E-2</c:v>
                </c:pt>
                <c:pt idx="2">
                  <c:v>5.9836296222380007E-2</c:v>
                </c:pt>
                <c:pt idx="3">
                  <c:v>3.9600980286179956E-2</c:v>
                </c:pt>
                <c:pt idx="4">
                  <c:v>2.3543363088463099E-2</c:v>
                </c:pt>
                <c:pt idx="5">
                  <c:v>6.6479756026961739E-2</c:v>
                </c:pt>
                <c:pt idx="6">
                  <c:v>2.26045595533318E-2</c:v>
                </c:pt>
                <c:pt idx="7">
                  <c:v>4.8868424118780014E-2</c:v>
                </c:pt>
                <c:pt idx="8">
                  <c:v>3.7231687831746595E-2</c:v>
                </c:pt>
                <c:pt idx="9">
                  <c:v>7.8614063433088202E-2</c:v>
                </c:pt>
                <c:pt idx="10">
                  <c:v>5.3125913395559783E-2</c:v>
                </c:pt>
                <c:pt idx="11">
                  <c:v>6.8263458683034434E-2</c:v>
                </c:pt>
                <c:pt idx="12">
                  <c:v>5.2529171013139746E-2</c:v>
                </c:pt>
                <c:pt idx="13">
                  <c:v>8.3374137668948592E-2</c:v>
                </c:pt>
                <c:pt idx="14">
                  <c:v>8.2626977724078857E-2</c:v>
                </c:pt>
                <c:pt idx="15">
                  <c:v>8.6002739767490011E-2</c:v>
                </c:pt>
                <c:pt idx="16">
                  <c:v>0.10282216063017116</c:v>
                </c:pt>
                <c:pt idx="17">
                  <c:v>9.9675096861614881E-2</c:v>
                </c:pt>
                <c:pt idx="18">
                  <c:v>0.11542699733610254</c:v>
                </c:pt>
                <c:pt idx="19">
                  <c:v>0.15446220827406865</c:v>
                </c:pt>
                <c:pt idx="20">
                  <c:v>0.18421763076797804</c:v>
                </c:pt>
                <c:pt idx="21">
                  <c:v>0.23658776952603533</c:v>
                </c:pt>
                <c:pt idx="22">
                  <c:v>0.25308712668548672</c:v>
                </c:pt>
                <c:pt idx="23">
                  <c:v>0.31396684961346516</c:v>
                </c:pt>
                <c:pt idx="24">
                  <c:v>0.32897755297522324</c:v>
                </c:pt>
                <c:pt idx="25">
                  <c:v>0.46091928581117636</c:v>
                </c:pt>
                <c:pt idx="26">
                  <c:v>0.55648188034603874</c:v>
                </c:pt>
                <c:pt idx="27">
                  <c:v>0.70799268691254169</c:v>
                </c:pt>
                <c:pt idx="28">
                  <c:v>0.93584982470380396</c:v>
                </c:pt>
                <c:pt idx="29">
                  <c:v>1.1131109219827504</c:v>
                </c:pt>
                <c:pt idx="30">
                  <c:v>1.403066699619244</c:v>
                </c:pt>
                <c:pt idx="31">
                  <c:v>1.7170696421756513</c:v>
                </c:pt>
                <c:pt idx="32">
                  <c:v>2.2022804060128656</c:v>
                </c:pt>
                <c:pt idx="33">
                  <c:v>2.7912787501394911</c:v>
                </c:pt>
                <c:pt idx="34">
                  <c:v>3.5135173903753674</c:v>
                </c:pt>
                <c:pt idx="35">
                  <c:v>4.3390850699518291</c:v>
                </c:pt>
                <c:pt idx="36">
                  <c:v>5.1955145377262157</c:v>
                </c:pt>
                <c:pt idx="37">
                  <c:v>5.5440107300681607</c:v>
                </c:pt>
                <c:pt idx="38">
                  <c:v>5.0865720864982791</c:v>
                </c:pt>
                <c:pt idx="39">
                  <c:v>3.855556663382711</c:v>
                </c:pt>
                <c:pt idx="40">
                  <c:v>1.7597912038717918</c:v>
                </c:pt>
                <c:pt idx="41">
                  <c:v>-1.0259344159744292</c:v>
                </c:pt>
                <c:pt idx="42">
                  <c:v>-2.8011720643170395</c:v>
                </c:pt>
                <c:pt idx="43">
                  <c:v>-4.2539943762111347</c:v>
                </c:pt>
                <c:pt idx="44">
                  <c:v>-5.8233440918828192</c:v>
                </c:pt>
                <c:pt idx="45">
                  <c:v>-7.5843544587149738</c:v>
                </c:pt>
                <c:pt idx="46">
                  <c:v>-9.7402125614274659</c:v>
                </c:pt>
                <c:pt idx="47">
                  <c:v>-12.37257918610058</c:v>
                </c:pt>
                <c:pt idx="48">
                  <c:v>-15.555863315068954</c:v>
                </c:pt>
                <c:pt idx="49">
                  <c:v>-19.483815345852271</c:v>
                </c:pt>
                <c:pt idx="50">
                  <c:v>-24.283894454351888</c:v>
                </c:pt>
                <c:pt idx="51">
                  <c:v>-19.466626972234366</c:v>
                </c:pt>
                <c:pt idx="52">
                  <c:v>-15.633352003517762</c:v>
                </c:pt>
                <c:pt idx="53">
                  <c:v>-12.409105485090491</c:v>
                </c:pt>
                <c:pt idx="54">
                  <c:v>-9.8333887755677125</c:v>
                </c:pt>
                <c:pt idx="55">
                  <c:v>-7.6379114005957245</c:v>
                </c:pt>
                <c:pt idx="56">
                  <c:v>-5.8600287524604235</c:v>
                </c:pt>
                <c:pt idx="57">
                  <c:v>-4.3244956150018341</c:v>
                </c:pt>
                <c:pt idx="58">
                  <c:v>-2.9456967958109219</c:v>
                </c:pt>
                <c:pt idx="59">
                  <c:v>-1.4713680026549512</c:v>
                </c:pt>
                <c:pt idx="60">
                  <c:v>0.16900618530835068</c:v>
                </c:pt>
                <c:pt idx="61">
                  <c:v>1.9753152592919496</c:v>
                </c:pt>
                <c:pt idx="62">
                  <c:v>3.3943574766307911</c:v>
                </c:pt>
                <c:pt idx="63">
                  <c:v>4.1998743726384919</c:v>
                </c:pt>
                <c:pt idx="64">
                  <c:v>4.277912128307249</c:v>
                </c:pt>
                <c:pt idx="65">
                  <c:v>3.8536522865497371</c:v>
                </c:pt>
                <c:pt idx="66">
                  <c:v>3.2994872040701413</c:v>
                </c:pt>
                <c:pt idx="67">
                  <c:v>2.6889427012976914</c:v>
                </c:pt>
                <c:pt idx="68">
                  <c:v>2.2913555321004164</c:v>
                </c:pt>
                <c:pt idx="69">
                  <c:v>1.9114040788148106</c:v>
                </c:pt>
                <c:pt idx="70">
                  <c:v>1.5988111248461645</c:v>
                </c:pt>
                <c:pt idx="71">
                  <c:v>1.3339450113247389</c:v>
                </c:pt>
                <c:pt idx="72">
                  <c:v>1.1421526035782741</c:v>
                </c:pt>
                <c:pt idx="73">
                  <c:v>0.93938857585220648</c:v>
                </c:pt>
                <c:pt idx="74">
                  <c:v>0.85888130832700882</c:v>
                </c:pt>
                <c:pt idx="75">
                  <c:v>0.74741222097716353</c:v>
                </c:pt>
                <c:pt idx="76">
                  <c:v>0.64062992462957824</c:v>
                </c:pt>
                <c:pt idx="77">
                  <c:v>0.55871190219259614</c:v>
                </c:pt>
                <c:pt idx="78">
                  <c:v>0.47981165235721451</c:v>
                </c:pt>
                <c:pt idx="79">
                  <c:v>0.46681246243649999</c:v>
                </c:pt>
                <c:pt idx="80">
                  <c:v>0.37896771499497506</c:v>
                </c:pt>
                <c:pt idx="81">
                  <c:v>0.34654537208630193</c:v>
                </c:pt>
                <c:pt idx="82">
                  <c:v>0.33516273515686168</c:v>
                </c:pt>
                <c:pt idx="83">
                  <c:v>0.31573911524625586</c:v>
                </c:pt>
                <c:pt idx="84">
                  <c:v>0.26471203630281936</c:v>
                </c:pt>
                <c:pt idx="85">
                  <c:v>0.29422278104609906</c:v>
                </c:pt>
                <c:pt idx="86">
                  <c:v>0.21717045888332495</c:v>
                </c:pt>
                <c:pt idx="87">
                  <c:v>0.24529517480736865</c:v>
                </c:pt>
                <c:pt idx="88">
                  <c:v>0.27214542845117723</c:v>
                </c:pt>
                <c:pt idx="89">
                  <c:v>0.18503976739736439</c:v>
                </c:pt>
                <c:pt idx="90">
                  <c:v>0.2482157768614936</c:v>
                </c:pt>
                <c:pt idx="91">
                  <c:v>0.2170956218089817</c:v>
                </c:pt>
                <c:pt idx="92">
                  <c:v>0.20314600519218304</c:v>
                </c:pt>
                <c:pt idx="93">
                  <c:v>0.21013471589650892</c:v>
                </c:pt>
                <c:pt idx="94">
                  <c:v>0.21282657344059572</c:v>
                </c:pt>
                <c:pt idx="95">
                  <c:v>0.20473583759931049</c:v>
                </c:pt>
                <c:pt idx="96">
                  <c:v>0.2167880523976671</c:v>
                </c:pt>
                <c:pt idx="97">
                  <c:v>0.1760247178736532</c:v>
                </c:pt>
                <c:pt idx="98">
                  <c:v>0.1857972923050418</c:v>
                </c:pt>
                <c:pt idx="99">
                  <c:v>0.23953946952879626</c:v>
                </c:pt>
                <c:pt idx="100">
                  <c:v>0.20878664593784174</c:v>
                </c:pt>
                <c:pt idx="101">
                  <c:v>0.21535847253039556</c:v>
                </c:pt>
                <c:pt idx="102">
                  <c:v>0.17758640468569006</c:v>
                </c:pt>
                <c:pt idx="103">
                  <c:v>0.204868052045034</c:v>
                </c:pt>
                <c:pt idx="104">
                  <c:v>0.18814655781530157</c:v>
                </c:pt>
                <c:pt idx="105">
                  <c:v>0.22572415800047332</c:v>
                </c:pt>
                <c:pt idx="106">
                  <c:v>0.20450957900338013</c:v>
                </c:pt>
                <c:pt idx="107">
                  <c:v>0.18559443843771042</c:v>
                </c:pt>
                <c:pt idx="108">
                  <c:v>0.1935738755048392</c:v>
                </c:pt>
                <c:pt idx="109">
                  <c:v>0.16318156745305032</c:v>
                </c:pt>
                <c:pt idx="110">
                  <c:v>0.15059519559110668</c:v>
                </c:pt>
                <c:pt idx="111">
                  <c:v>0.14106356752188218</c:v>
                </c:pt>
                <c:pt idx="112">
                  <c:v>0.1488044822084531</c:v>
                </c:pt>
                <c:pt idx="113">
                  <c:v>0.16579451521692354</c:v>
                </c:pt>
                <c:pt idx="114">
                  <c:v>0.12753740253163559</c:v>
                </c:pt>
                <c:pt idx="115">
                  <c:v>0.10839910837202353</c:v>
                </c:pt>
                <c:pt idx="116">
                  <c:v>0.11622077815111544</c:v>
                </c:pt>
                <c:pt idx="117">
                  <c:v>0.10129315985354877</c:v>
                </c:pt>
                <c:pt idx="118">
                  <c:v>5.8430569818489111E-2</c:v>
                </c:pt>
                <c:pt idx="119">
                  <c:v>3.467462070449296E-2</c:v>
                </c:pt>
                <c:pt idx="120">
                  <c:v>1.5346148756828248E-2</c:v>
                </c:pt>
                <c:pt idx="121">
                  <c:v>-5.4427628244720701E-2</c:v>
                </c:pt>
                <c:pt idx="122">
                  <c:v>-0.10268023026450018</c:v>
                </c:pt>
                <c:pt idx="123">
                  <c:v>-0.16156877050820562</c:v>
                </c:pt>
                <c:pt idx="124">
                  <c:v>-0.27453949908234088</c:v>
                </c:pt>
                <c:pt idx="125">
                  <c:v>-0.35100327480785398</c:v>
                </c:pt>
                <c:pt idx="126">
                  <c:v>-0.50851726075300552</c:v>
                </c:pt>
                <c:pt idx="127">
                  <c:v>-0.6740984309973922</c:v>
                </c:pt>
                <c:pt idx="128">
                  <c:v>-0.91943351633034265</c:v>
                </c:pt>
                <c:pt idx="129">
                  <c:v>-1.1653933112643997</c:v>
                </c:pt>
                <c:pt idx="130">
                  <c:v>-1.5256917271636146</c:v>
                </c:pt>
                <c:pt idx="131">
                  <c:v>-1.956633720768203</c:v>
                </c:pt>
                <c:pt idx="132">
                  <c:v>-2.4721472360229555</c:v>
                </c:pt>
                <c:pt idx="133">
                  <c:v>-3.1778053192349254</c:v>
                </c:pt>
                <c:pt idx="134">
                  <c:v>-3.9100065701530067</c:v>
                </c:pt>
                <c:pt idx="135">
                  <c:v>-4.7107372536724288</c:v>
                </c:pt>
                <c:pt idx="136">
                  <c:v>-5.1102897526363202</c:v>
                </c:pt>
                <c:pt idx="137">
                  <c:v>-4.5646494481731503</c:v>
                </c:pt>
                <c:pt idx="138">
                  <c:v>-3.1324892202156507</c:v>
                </c:pt>
                <c:pt idx="139">
                  <c:v>-0.8287544005962143</c:v>
                </c:pt>
                <c:pt idx="140">
                  <c:v>1.3241281547761563</c:v>
                </c:pt>
                <c:pt idx="141">
                  <c:v>2.867893864219214</c:v>
                </c:pt>
                <c:pt idx="142">
                  <c:v>4.3213240291006789</c:v>
                </c:pt>
                <c:pt idx="143">
                  <c:v>5.8698104431405129</c:v>
                </c:pt>
                <c:pt idx="144">
                  <c:v>7.6617310534767915</c:v>
                </c:pt>
                <c:pt idx="145">
                  <c:v>9.8339770794041037</c:v>
                </c:pt>
                <c:pt idx="146">
                  <c:v>12.438394707695135</c:v>
                </c:pt>
                <c:pt idx="147">
                  <c:v>15.647833447084622</c:v>
                </c:pt>
                <c:pt idx="148">
                  <c:v>19.537582147291904</c:v>
                </c:pt>
                <c:pt idx="149">
                  <c:v>24.350475224378361</c:v>
                </c:pt>
                <c:pt idx="150">
                  <c:v>19.560388161631575</c:v>
                </c:pt>
                <c:pt idx="151">
                  <c:v>15.656797532578752</c:v>
                </c:pt>
                <c:pt idx="152">
                  <c:v>12.428114317651053</c:v>
                </c:pt>
                <c:pt idx="153">
                  <c:v>9.8891808133340078</c:v>
                </c:pt>
                <c:pt idx="154">
                  <c:v>7.6732332587398577</c:v>
                </c:pt>
                <c:pt idx="155">
                  <c:v>5.9006683708799033</c:v>
                </c:pt>
                <c:pt idx="156">
                  <c:v>4.3633052772800704</c:v>
                </c:pt>
                <c:pt idx="157">
                  <c:v>2.9598365159494833</c:v>
                </c:pt>
                <c:pt idx="158">
                  <c:v>1.4732091875740998</c:v>
                </c:pt>
                <c:pt idx="159">
                  <c:v>-0.21236501371026348</c:v>
                </c:pt>
                <c:pt idx="160">
                  <c:v>-2.0076525065374442</c:v>
                </c:pt>
                <c:pt idx="161">
                  <c:v>-3.3561494827700797</c:v>
                </c:pt>
                <c:pt idx="162">
                  <c:v>-4.1552153940393994</c:v>
                </c:pt>
                <c:pt idx="163">
                  <c:v>-4.1113278676623111</c:v>
                </c:pt>
                <c:pt idx="164">
                  <c:v>-3.5677134838481996</c:v>
                </c:pt>
                <c:pt idx="165">
                  <c:v>-3.013159537541013</c:v>
                </c:pt>
                <c:pt idx="166">
                  <c:v>-2.4784090545007418</c:v>
                </c:pt>
                <c:pt idx="167">
                  <c:v>-2.0132070993910096</c:v>
                </c:pt>
                <c:pt idx="168">
                  <c:v>-1.6489547545640353</c:v>
                </c:pt>
                <c:pt idx="169">
                  <c:v>-1.3714113186570502</c:v>
                </c:pt>
                <c:pt idx="170">
                  <c:v>-1.1122737519044796</c:v>
                </c:pt>
                <c:pt idx="171">
                  <c:v>-0.91212805223442772</c:v>
                </c:pt>
                <c:pt idx="172">
                  <c:v>-0.79441278221319556</c:v>
                </c:pt>
                <c:pt idx="173">
                  <c:v>-0.64516318190415323</c:v>
                </c:pt>
                <c:pt idx="174">
                  <c:v>-0.53590773389463753</c:v>
                </c:pt>
                <c:pt idx="175">
                  <c:v>-0.45720986194331775</c:v>
                </c:pt>
                <c:pt idx="176">
                  <c:v>-0.37833000472485045</c:v>
                </c:pt>
                <c:pt idx="177">
                  <c:v>-0.28658521512647983</c:v>
                </c:pt>
                <c:pt idx="178">
                  <c:v>-0.2920752250662948</c:v>
                </c:pt>
                <c:pt idx="179">
                  <c:v>-0.21717237493713901</c:v>
                </c:pt>
                <c:pt idx="180">
                  <c:v>-0.19963674890568489</c:v>
                </c:pt>
                <c:pt idx="181">
                  <c:v>-0.16052105447609932</c:v>
                </c:pt>
                <c:pt idx="182">
                  <c:v>-0.14381304816700649</c:v>
                </c:pt>
                <c:pt idx="183">
                  <c:v>-0.11216626557469873</c:v>
                </c:pt>
                <c:pt idx="184">
                  <c:v>-0.13052219290910441</c:v>
                </c:pt>
                <c:pt idx="185">
                  <c:v>-0.10451654553481583</c:v>
                </c:pt>
                <c:pt idx="186">
                  <c:v>-8.2981868726179367E-2</c:v>
                </c:pt>
                <c:pt idx="187">
                  <c:v>-6.7774483668269367E-2</c:v>
                </c:pt>
                <c:pt idx="188">
                  <c:v>-9.2879433427733166E-2</c:v>
                </c:pt>
                <c:pt idx="189">
                  <c:v>-7.6164790302020099E-2</c:v>
                </c:pt>
                <c:pt idx="190">
                  <c:v>-5.355598880697747E-2</c:v>
                </c:pt>
                <c:pt idx="191">
                  <c:v>-3.9177643273600966E-2</c:v>
                </c:pt>
                <c:pt idx="192">
                  <c:v>-6.0421726417260686E-2</c:v>
                </c:pt>
                <c:pt idx="193">
                  <c:v>-0.10163855554826504</c:v>
                </c:pt>
                <c:pt idx="194">
                  <c:v>-5.6801316587052848E-2</c:v>
                </c:pt>
                <c:pt idx="195">
                  <c:v>-3.8886443114916208E-2</c:v>
                </c:pt>
                <c:pt idx="196">
                  <c:v>-6.3276934888600159E-2</c:v>
                </c:pt>
                <c:pt idx="197">
                  <c:v>-6.0207687963517421E-2</c:v>
                </c:pt>
                <c:pt idx="198">
                  <c:v>-3.7656358830527627E-2</c:v>
                </c:pt>
                <c:pt idx="199">
                  <c:v>-2.831696431149763E-2</c:v>
                </c:pt>
                <c:pt idx="200">
                  <c:v>-4.7475431928021505E-2</c:v>
                </c:pt>
                <c:pt idx="201">
                  <c:v>-2.3691150144593755E-2</c:v>
                </c:pt>
                <c:pt idx="202">
                  <c:v>-4.8665970527568408E-2</c:v>
                </c:pt>
                <c:pt idx="203">
                  <c:v>-2.6599676344404282E-2</c:v>
                </c:pt>
                <c:pt idx="204">
                  <c:v>-1.0303878096576359E-2</c:v>
                </c:pt>
                <c:pt idx="205">
                  <c:v>-3.6070566696851998E-2</c:v>
                </c:pt>
                <c:pt idx="206">
                  <c:v>-2.584238579509044E-2</c:v>
                </c:pt>
                <c:pt idx="207">
                  <c:v>-6.6304064758314782E-2</c:v>
                </c:pt>
                <c:pt idx="208">
                  <c:v>-5.2598358844137653E-2</c:v>
                </c:pt>
                <c:pt idx="209">
                  <c:v>-1.4035258638330279E-2</c:v>
                </c:pt>
                <c:pt idx="210">
                  <c:v>6.4246878716139044E-3</c:v>
                </c:pt>
                <c:pt idx="211">
                  <c:v>3.1535098666576333E-2</c:v>
                </c:pt>
                <c:pt idx="212">
                  <c:v>-3.2955318330975649E-3</c:v>
                </c:pt>
                <c:pt idx="213">
                  <c:v>3.9135398465259999E-2</c:v>
                </c:pt>
                <c:pt idx="214">
                  <c:v>4.2821559968610139E-2</c:v>
                </c:pt>
                <c:pt idx="215">
                  <c:v>8.5687282895407682E-2</c:v>
                </c:pt>
                <c:pt idx="216">
                  <c:v>4.8718707369365358E-2</c:v>
                </c:pt>
                <c:pt idx="217">
                  <c:v>4.2100962375324347E-2</c:v>
                </c:pt>
                <c:pt idx="218">
                  <c:v>0.12878296827579766</c:v>
                </c:pt>
                <c:pt idx="219">
                  <c:v>0.15425071610724686</c:v>
                </c:pt>
                <c:pt idx="220">
                  <c:v>0.19746634341255193</c:v>
                </c:pt>
                <c:pt idx="221">
                  <c:v>0.29601645041962438</c:v>
                </c:pt>
                <c:pt idx="222">
                  <c:v>0.31548669641059857</c:v>
                </c:pt>
                <c:pt idx="223">
                  <c:v>0.42289736351778623</c:v>
                </c:pt>
                <c:pt idx="224">
                  <c:v>0.55182713412676465</c:v>
                </c:pt>
                <c:pt idx="225">
                  <c:v>0.67012113601299395</c:v>
                </c:pt>
                <c:pt idx="226">
                  <c:v>0.83733780032670857</c:v>
                </c:pt>
                <c:pt idx="227">
                  <c:v>1.0173301266559311</c:v>
                </c:pt>
                <c:pt idx="228">
                  <c:v>1.260748284262899</c:v>
                </c:pt>
                <c:pt idx="229">
                  <c:v>1.6341909083826587</c:v>
                </c:pt>
                <c:pt idx="230">
                  <c:v>2.0826873107761057</c:v>
                </c:pt>
                <c:pt idx="231">
                  <c:v>2.5820622562458073</c:v>
                </c:pt>
                <c:pt idx="232">
                  <c:v>3.07731979624063</c:v>
                </c:pt>
                <c:pt idx="233">
                  <c:v>3.9125813658088391</c:v>
                </c:pt>
                <c:pt idx="234">
                  <c:v>4.5476529941965023</c:v>
                </c:pt>
                <c:pt idx="235">
                  <c:v>4.6891906431513721</c:v>
                </c:pt>
                <c:pt idx="236">
                  <c:v>3.9469819438731784</c:v>
                </c:pt>
                <c:pt idx="237">
                  <c:v>2.3662183446997624</c:v>
                </c:pt>
                <c:pt idx="238">
                  <c:v>0.16073804789465423</c:v>
                </c:pt>
                <c:pt idx="239">
                  <c:v>-1.7198667589559771</c:v>
                </c:pt>
                <c:pt idx="240">
                  <c:v>-3.2207476180180965</c:v>
                </c:pt>
                <c:pt idx="241">
                  <c:v>-4.6283047014897569</c:v>
                </c:pt>
                <c:pt idx="242">
                  <c:v>-6.1529435299530943</c:v>
                </c:pt>
                <c:pt idx="243">
                  <c:v>-7.944782204966045</c:v>
                </c:pt>
                <c:pt idx="244">
                  <c:v>-10.091681361809558</c:v>
                </c:pt>
                <c:pt idx="245">
                  <c:v>-12.706475653907793</c:v>
                </c:pt>
                <c:pt idx="246">
                  <c:v>-15.936981251701427</c:v>
                </c:pt>
                <c:pt idx="247">
                  <c:v>-19.796000085619045</c:v>
                </c:pt>
                <c:pt idx="248">
                  <c:v>-24.628562889744696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99-4317-9351-C1C2B1B8E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4281199"/>
        <c:axId val="1874297519"/>
      </c:scatterChart>
      <c:valAx>
        <c:axId val="187428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 (A/m)</a:t>
                </a:r>
              </a:p>
            </c:rich>
          </c:tx>
          <c:layout>
            <c:manualLayout>
              <c:xMode val="edge"/>
              <c:yMode val="edge"/>
              <c:x val="0.37570208071817107"/>
              <c:y val="0.910834214216373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297519"/>
        <c:crosses val="autoZero"/>
        <c:crossBetween val="midCat"/>
      </c:valAx>
      <c:valAx>
        <c:axId val="187429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 (A/m)</a:t>
                </a:r>
              </a:p>
            </c:rich>
          </c:tx>
          <c:layout>
            <c:manualLayout>
              <c:xMode val="edge"/>
              <c:yMode val="edge"/>
              <c:x val="1.2802008444596599E-2"/>
              <c:y val="0.35646640060403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281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18</xdr:row>
      <xdr:rowOff>38099</xdr:rowOff>
    </xdr:from>
    <xdr:to>
      <xdr:col>9</xdr:col>
      <xdr:colOff>409575</xdr:colOff>
      <xdr:row>36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7EE4CF-7B57-4998-BDAC-AB431670B8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733425</xdr:colOff>
      <xdr:row>18</xdr:row>
      <xdr:rowOff>85724</xdr:rowOff>
    </xdr:from>
    <xdr:to>
      <xdr:col>20</xdr:col>
      <xdr:colOff>419100</xdr:colOff>
      <xdr:row>36</xdr:row>
      <xdr:rowOff>133349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B9FEEE-367B-0297-74C9-61D397A9B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F7396-6B14-469C-8871-E7917AD8E47C}">
  <dimension ref="A1:R34"/>
  <sheetViews>
    <sheetView tabSelected="1" workbookViewId="0">
      <selection activeCell="E40" sqref="E40"/>
    </sheetView>
  </sheetViews>
  <sheetFormatPr baseColWidth="10" defaultColWidth="8.83203125" defaultRowHeight="15" x14ac:dyDescent="0.2"/>
  <cols>
    <col min="1" max="1" width="24.5" customWidth="1"/>
    <col min="2" max="2" width="15.33203125" bestFit="1" customWidth="1"/>
    <col min="3" max="3" width="12" bestFit="1" customWidth="1"/>
    <col min="4" max="4" width="11.5" bestFit="1" customWidth="1"/>
    <col min="5" max="5" width="15.33203125" bestFit="1" customWidth="1"/>
    <col min="6" max="6" width="16.5" customWidth="1"/>
    <col min="8" max="8" width="5.5" customWidth="1"/>
    <col min="10" max="10" width="12.5" customWidth="1"/>
    <col min="14" max="14" width="5.1640625" customWidth="1"/>
    <col min="18" max="18" width="12.5" customWidth="1"/>
  </cols>
  <sheetData>
    <row r="1" spans="1:18" ht="14.25" customHeight="1" x14ac:dyDescent="0.2">
      <c r="A1" s="5" t="s">
        <v>25</v>
      </c>
      <c r="B1" s="6" t="s">
        <v>0</v>
      </c>
      <c r="C1" s="6" t="s">
        <v>1</v>
      </c>
      <c r="D1" s="6" t="s">
        <v>2</v>
      </c>
      <c r="E1" s="6" t="s">
        <v>3</v>
      </c>
    </row>
    <row r="2" spans="1:18" x14ac:dyDescent="0.2">
      <c r="A2" s="7" t="s">
        <v>32</v>
      </c>
      <c r="B2" s="7">
        <v>82.5</v>
      </c>
      <c r="C2" s="7">
        <v>4.01</v>
      </c>
      <c r="D2" s="7">
        <v>4.03</v>
      </c>
      <c r="E2" s="7">
        <v>1.02</v>
      </c>
    </row>
    <row r="3" spans="1:18" x14ac:dyDescent="0.2">
      <c r="A3" s="7"/>
      <c r="B3" s="7"/>
      <c r="C3" s="7"/>
      <c r="D3" s="7"/>
      <c r="E3" s="7"/>
    </row>
    <row r="5" spans="1:18" ht="14.25" customHeight="1" x14ac:dyDescent="0.2">
      <c r="A5" s="5" t="s">
        <v>25</v>
      </c>
      <c r="B5" s="6" t="s">
        <v>0</v>
      </c>
      <c r="C5" s="6" t="s">
        <v>1</v>
      </c>
      <c r="D5" s="6" t="s">
        <v>2</v>
      </c>
      <c r="E5" s="6" t="s">
        <v>3</v>
      </c>
      <c r="F5" s="2" t="s">
        <v>26</v>
      </c>
      <c r="G5" s="13" t="s">
        <v>35</v>
      </c>
      <c r="H5" s="14"/>
      <c r="I5" s="13" t="s">
        <v>34</v>
      </c>
      <c r="J5" s="14"/>
      <c r="K5" s="13" t="s">
        <v>27</v>
      </c>
      <c r="L5" s="14"/>
      <c r="M5" s="13" t="s">
        <v>28</v>
      </c>
      <c r="N5" s="14"/>
      <c r="O5" s="13" t="s">
        <v>29</v>
      </c>
      <c r="P5" s="14"/>
      <c r="Q5" s="15" t="s">
        <v>30</v>
      </c>
      <c r="R5" s="16"/>
    </row>
    <row r="6" spans="1:18" x14ac:dyDescent="0.2">
      <c r="A6" s="7" t="s">
        <v>36</v>
      </c>
      <c r="B6" s="7">
        <v>82.89</v>
      </c>
      <c r="C6" s="7">
        <v>4.04</v>
      </c>
      <c r="D6" s="7">
        <v>4.03</v>
      </c>
      <c r="E6" s="8">
        <v>1E-4</v>
      </c>
      <c r="F6" s="3" t="s">
        <v>31</v>
      </c>
      <c r="G6" s="9">
        <v>439970</v>
      </c>
      <c r="H6" s="10"/>
      <c r="I6" s="9"/>
      <c r="J6" s="10"/>
      <c r="K6" s="9">
        <v>31191.34</v>
      </c>
      <c r="L6" s="10"/>
      <c r="M6" s="9">
        <v>96432</v>
      </c>
      <c r="N6" s="10"/>
      <c r="O6" s="9">
        <v>4.5668499999999996</v>
      </c>
      <c r="P6" s="10"/>
      <c r="Q6" s="9">
        <f>M6/G6</f>
        <v>0.21917858035775167</v>
      </c>
      <c r="R6" s="10"/>
    </row>
    <row r="7" spans="1:18" x14ac:dyDescent="0.2">
      <c r="A7" s="7"/>
      <c r="B7" s="7"/>
      <c r="C7" s="7"/>
      <c r="D7" s="7"/>
      <c r="E7" s="8"/>
      <c r="F7" s="4" t="s">
        <v>33</v>
      </c>
      <c r="G7" s="11"/>
      <c r="H7" s="12"/>
      <c r="I7" s="11"/>
      <c r="J7" s="12"/>
      <c r="K7" s="11"/>
      <c r="L7" s="12"/>
      <c r="M7" s="11"/>
      <c r="N7" s="12"/>
      <c r="O7" s="11"/>
      <c r="P7" s="12"/>
      <c r="Q7" s="11" t="e">
        <f t="shared" ref="Q7:Q17" si="0">M7/G7</f>
        <v>#DIV/0!</v>
      </c>
      <c r="R7" s="12"/>
    </row>
    <row r="8" spans="1:18" x14ac:dyDescent="0.2">
      <c r="A8" s="7" t="s">
        <v>37</v>
      </c>
      <c r="B8" s="7">
        <v>82.69</v>
      </c>
      <c r="C8" s="7">
        <v>4.0199999999999996</v>
      </c>
      <c r="D8" s="7">
        <v>4.01</v>
      </c>
      <c r="E8" s="8">
        <v>1E-4</v>
      </c>
      <c r="F8" s="3" t="s">
        <v>31</v>
      </c>
      <c r="G8" s="9">
        <v>488480</v>
      </c>
      <c r="H8" s="10"/>
      <c r="I8" s="9"/>
      <c r="J8" s="10"/>
      <c r="K8" s="9">
        <v>30937.108</v>
      </c>
      <c r="L8" s="10"/>
      <c r="M8" s="9">
        <v>90110</v>
      </c>
      <c r="N8" s="10"/>
      <c r="O8" s="9">
        <v>4.3517999999999999</v>
      </c>
      <c r="P8" s="10"/>
      <c r="Q8" s="9">
        <f t="shared" si="0"/>
        <v>0.18447019325253849</v>
      </c>
      <c r="R8" s="10"/>
    </row>
    <row r="9" spans="1:18" x14ac:dyDescent="0.2">
      <c r="A9" s="7"/>
      <c r="B9" s="7"/>
      <c r="C9" s="7"/>
      <c r="D9" s="7"/>
      <c r="E9" s="8"/>
      <c r="F9" s="4" t="s">
        <v>33</v>
      </c>
      <c r="G9" s="11"/>
      <c r="H9" s="12"/>
      <c r="I9" s="11"/>
      <c r="J9" s="12"/>
      <c r="K9" s="11"/>
      <c r="L9" s="12"/>
      <c r="M9" s="11"/>
      <c r="N9" s="12"/>
      <c r="O9" s="11"/>
      <c r="P9" s="12"/>
      <c r="Q9" s="11" t="e">
        <f t="shared" si="0"/>
        <v>#DIV/0!</v>
      </c>
      <c r="R9" s="12"/>
    </row>
    <row r="10" spans="1:18" x14ac:dyDescent="0.2">
      <c r="A10" s="7" t="s">
        <v>38</v>
      </c>
      <c r="B10" s="7">
        <v>82.52</v>
      </c>
      <c r="C10" s="7">
        <v>4.03</v>
      </c>
      <c r="D10" s="7">
        <v>4.01</v>
      </c>
      <c r="E10" s="8">
        <v>1E-4</v>
      </c>
      <c r="F10" s="3" t="s">
        <v>31</v>
      </c>
      <c r="G10" s="9">
        <v>426230</v>
      </c>
      <c r="H10" s="10"/>
      <c r="I10" s="9"/>
      <c r="J10" s="10"/>
      <c r="K10" s="9">
        <v>29338.475900000001</v>
      </c>
      <c r="L10" s="10"/>
      <c r="M10" s="9">
        <v>91213</v>
      </c>
      <c r="N10" s="10"/>
      <c r="O10" s="9">
        <v>4.4988000000000001</v>
      </c>
      <c r="P10" s="10"/>
      <c r="Q10" s="9">
        <f t="shared" si="0"/>
        <v>0.21399948384674941</v>
      </c>
      <c r="R10" s="10"/>
    </row>
    <row r="11" spans="1:18" x14ac:dyDescent="0.2">
      <c r="A11" s="7"/>
      <c r="B11" s="7"/>
      <c r="C11" s="7"/>
      <c r="D11" s="7"/>
      <c r="E11" s="8"/>
      <c r="F11" s="4" t="s">
        <v>33</v>
      </c>
      <c r="G11" s="11"/>
      <c r="H11" s="12"/>
      <c r="I11" s="11"/>
      <c r="J11" s="12"/>
      <c r="K11" s="11"/>
      <c r="L11" s="12"/>
      <c r="M11" s="11"/>
      <c r="N11" s="12"/>
      <c r="O11" s="11"/>
      <c r="P11" s="12"/>
      <c r="Q11" s="11" t="e">
        <f t="shared" si="0"/>
        <v>#DIV/0!</v>
      </c>
      <c r="R11" s="12"/>
    </row>
    <row r="12" spans="1:18" x14ac:dyDescent="0.2">
      <c r="A12" s="7" t="s">
        <v>39</v>
      </c>
      <c r="B12" s="7">
        <v>82.7</v>
      </c>
      <c r="C12" s="7">
        <v>4</v>
      </c>
      <c r="D12" s="7">
        <v>4</v>
      </c>
      <c r="E12" s="8">
        <v>1E-4</v>
      </c>
      <c r="F12" s="3" t="s">
        <v>31</v>
      </c>
      <c r="G12" s="9">
        <v>273000</v>
      </c>
      <c r="H12" s="10"/>
      <c r="I12" s="9"/>
      <c r="J12" s="10"/>
      <c r="K12" s="9">
        <v>32044.6142</v>
      </c>
      <c r="L12" s="10"/>
      <c r="M12" s="9">
        <v>61241</v>
      </c>
      <c r="N12" s="10"/>
      <c r="O12" s="9">
        <v>3.4073000000000002</v>
      </c>
      <c r="P12" s="10"/>
      <c r="Q12" s="9">
        <f t="shared" si="0"/>
        <v>0.22432600732600733</v>
      </c>
      <c r="R12" s="10"/>
    </row>
    <row r="13" spans="1:18" x14ac:dyDescent="0.2">
      <c r="A13" s="7"/>
      <c r="B13" s="7"/>
      <c r="C13" s="7"/>
      <c r="D13" s="7"/>
      <c r="E13" s="8"/>
      <c r="F13" s="4" t="s">
        <v>33</v>
      </c>
      <c r="G13" s="11"/>
      <c r="H13" s="12"/>
      <c r="I13" s="11"/>
      <c r="J13" s="12"/>
      <c r="K13" s="11"/>
      <c r="L13" s="12"/>
      <c r="M13" s="11"/>
      <c r="N13" s="12"/>
      <c r="O13" s="11"/>
      <c r="P13" s="12"/>
      <c r="Q13" s="11" t="e">
        <f t="shared" si="0"/>
        <v>#DIV/0!</v>
      </c>
      <c r="R13" s="12"/>
    </row>
    <row r="14" spans="1:18" x14ac:dyDescent="0.2">
      <c r="A14" s="7" t="s">
        <v>40</v>
      </c>
      <c r="B14" s="7">
        <v>82.79</v>
      </c>
      <c r="C14" s="7">
        <v>4.01</v>
      </c>
      <c r="D14" s="7">
        <v>4.03</v>
      </c>
      <c r="E14" s="8">
        <v>1E-4</v>
      </c>
      <c r="F14" s="3" t="s">
        <v>31</v>
      </c>
      <c r="G14" s="9">
        <v>238070</v>
      </c>
      <c r="H14" s="10"/>
      <c r="I14" s="9"/>
      <c r="J14" s="10"/>
      <c r="K14" s="9">
        <v>22276.300999999999</v>
      </c>
      <c r="L14" s="10"/>
      <c r="M14" s="9">
        <v>36756</v>
      </c>
      <c r="N14" s="10"/>
      <c r="O14" s="9">
        <v>3.0093999999999999</v>
      </c>
      <c r="P14" s="10"/>
      <c r="Q14" s="9">
        <f t="shared" si="0"/>
        <v>0.15439156550594363</v>
      </c>
      <c r="R14" s="10"/>
    </row>
    <row r="15" spans="1:18" x14ac:dyDescent="0.2">
      <c r="A15" s="7"/>
      <c r="B15" s="7"/>
      <c r="C15" s="7"/>
      <c r="D15" s="7"/>
      <c r="E15" s="8"/>
      <c r="F15" s="4" t="s">
        <v>33</v>
      </c>
      <c r="G15" s="11"/>
      <c r="H15" s="12"/>
      <c r="I15" s="11"/>
      <c r="J15" s="12"/>
      <c r="K15" s="11"/>
      <c r="L15" s="12"/>
      <c r="M15" s="11"/>
      <c r="N15" s="12"/>
      <c r="O15" s="11"/>
      <c r="P15" s="12"/>
      <c r="Q15" s="11" t="e">
        <f t="shared" si="0"/>
        <v>#DIV/0!</v>
      </c>
      <c r="R15" s="12"/>
    </row>
    <row r="16" spans="1:18" x14ac:dyDescent="0.2">
      <c r="A16" s="7" t="s">
        <v>41</v>
      </c>
      <c r="B16" s="7">
        <v>82.64</v>
      </c>
      <c r="C16" s="7">
        <v>4</v>
      </c>
      <c r="D16" s="7">
        <v>4.0199999999999996</v>
      </c>
      <c r="E16" s="8">
        <v>1E-4</v>
      </c>
      <c r="F16" s="3" t="s">
        <v>31</v>
      </c>
      <c r="G16" s="9">
        <v>226030</v>
      </c>
      <c r="H16" s="10"/>
      <c r="I16" s="9"/>
      <c r="J16" s="10"/>
      <c r="K16" s="9">
        <v>26056.93</v>
      </c>
      <c r="L16" s="10"/>
      <c r="M16" s="9">
        <v>42525</v>
      </c>
      <c r="N16" s="10"/>
      <c r="O16" s="9">
        <v>3.0653999999999999</v>
      </c>
      <c r="P16" s="10"/>
      <c r="Q16" s="9">
        <f t="shared" si="0"/>
        <v>0.18813874264478167</v>
      </c>
      <c r="R16" s="10"/>
    </row>
    <row r="17" spans="1:18" x14ac:dyDescent="0.2">
      <c r="A17" s="7"/>
      <c r="B17" s="7"/>
      <c r="C17" s="7"/>
      <c r="D17" s="7"/>
      <c r="E17" s="8"/>
      <c r="F17" s="4" t="s">
        <v>33</v>
      </c>
      <c r="G17" s="11"/>
      <c r="H17" s="12"/>
      <c r="I17" s="11"/>
      <c r="J17" s="12"/>
      <c r="K17" s="11"/>
      <c r="L17" s="12"/>
      <c r="M17" s="11"/>
      <c r="N17" s="12"/>
      <c r="O17" s="11"/>
      <c r="P17" s="12"/>
      <c r="Q17" s="11" t="e">
        <f t="shared" si="0"/>
        <v>#DIV/0!</v>
      </c>
      <c r="R17" s="12"/>
    </row>
    <row r="21" spans="1:18" ht="15" customHeight="1" x14ac:dyDescent="0.2"/>
    <row r="30" spans="1:18" ht="15" customHeight="1" x14ac:dyDescent="0.2"/>
    <row r="32" spans="1:18" ht="15" customHeight="1" x14ac:dyDescent="0.2"/>
    <row r="34" ht="15" customHeight="1" x14ac:dyDescent="0.2"/>
  </sheetData>
  <mergeCells count="113">
    <mergeCell ref="G5:H5"/>
    <mergeCell ref="I5:J5"/>
    <mergeCell ref="K5:L5"/>
    <mergeCell ref="M5:N5"/>
    <mergeCell ref="O5:P5"/>
    <mergeCell ref="Q5:R5"/>
    <mergeCell ref="I16:J16"/>
    <mergeCell ref="I17:J17"/>
    <mergeCell ref="I10:J10"/>
    <mergeCell ref="I11:J11"/>
    <mergeCell ref="I12:J12"/>
    <mergeCell ref="I13:J13"/>
    <mergeCell ref="I14:J14"/>
    <mergeCell ref="I15:J15"/>
    <mergeCell ref="M13:N13"/>
    <mergeCell ref="M14:N14"/>
    <mergeCell ref="M15:N15"/>
    <mergeCell ref="M16:N16"/>
    <mergeCell ref="M17:N17"/>
    <mergeCell ref="I6:J6"/>
    <mergeCell ref="I7:J7"/>
    <mergeCell ref="Q14:R14"/>
    <mergeCell ref="Q15:R15"/>
    <mergeCell ref="Q16:R16"/>
    <mergeCell ref="Q17:R17"/>
    <mergeCell ref="O14:P14"/>
    <mergeCell ref="O15:P15"/>
    <mergeCell ref="O16:P16"/>
    <mergeCell ref="O17:P17"/>
    <mergeCell ref="Q7:R7"/>
    <mergeCell ref="Q9:R9"/>
    <mergeCell ref="Q10:R10"/>
    <mergeCell ref="Q11:R11"/>
    <mergeCell ref="Q12:R12"/>
    <mergeCell ref="O7:P7"/>
    <mergeCell ref="O9:P9"/>
    <mergeCell ref="O10:P10"/>
    <mergeCell ref="O11:P11"/>
    <mergeCell ref="O12:P12"/>
    <mergeCell ref="O13:P13"/>
    <mergeCell ref="K16:L16"/>
    <mergeCell ref="K17:L17"/>
    <mergeCell ref="M7:N7"/>
    <mergeCell ref="M9:N9"/>
    <mergeCell ref="M10:N10"/>
    <mergeCell ref="M11:N11"/>
    <mergeCell ref="M12:N12"/>
    <mergeCell ref="G17:H17"/>
    <mergeCell ref="K7:L7"/>
    <mergeCell ref="K9:L9"/>
    <mergeCell ref="K10:L10"/>
    <mergeCell ref="K11:L11"/>
    <mergeCell ref="K12:L12"/>
    <mergeCell ref="K13:L13"/>
    <mergeCell ref="K14:L14"/>
    <mergeCell ref="K15:L15"/>
    <mergeCell ref="G15:H15"/>
    <mergeCell ref="G16:H16"/>
    <mergeCell ref="Q6:R6"/>
    <mergeCell ref="G8:H8"/>
    <mergeCell ref="K8:L8"/>
    <mergeCell ref="M8:N8"/>
    <mergeCell ref="O8:P8"/>
    <mergeCell ref="Q8:R8"/>
    <mergeCell ref="G7:H7"/>
    <mergeCell ref="I8:J8"/>
    <mergeCell ref="G14:H14"/>
    <mergeCell ref="G12:H12"/>
    <mergeCell ref="G13:H13"/>
    <mergeCell ref="Q13:R13"/>
    <mergeCell ref="G10:H10"/>
    <mergeCell ref="G11:H11"/>
    <mergeCell ref="G9:H9"/>
    <mergeCell ref="I9:J9"/>
    <mergeCell ref="G6:H6"/>
    <mergeCell ref="K6:L6"/>
    <mergeCell ref="M6:N6"/>
    <mergeCell ref="O6:P6"/>
    <mergeCell ref="A2:A3"/>
    <mergeCell ref="A6:A7"/>
    <mergeCell ref="A8:A9"/>
    <mergeCell ref="A10:A11"/>
    <mergeCell ref="A12:A13"/>
    <mergeCell ref="A14:A15"/>
    <mergeCell ref="A16:A17"/>
    <mergeCell ref="B16:B17"/>
    <mergeCell ref="C16:C17"/>
    <mergeCell ref="B8:B9"/>
    <mergeCell ref="C8:C9"/>
    <mergeCell ref="D16:D17"/>
    <mergeCell ref="E16:E17"/>
    <mergeCell ref="B12:B13"/>
    <mergeCell ref="C12:C13"/>
    <mergeCell ref="D12:D13"/>
    <mergeCell ref="E12:E13"/>
    <mergeCell ref="B14:B15"/>
    <mergeCell ref="C14:C15"/>
    <mergeCell ref="D14:D15"/>
    <mergeCell ref="E14:E15"/>
    <mergeCell ref="D8:D9"/>
    <mergeCell ref="E8:E9"/>
    <mergeCell ref="B10:B11"/>
    <mergeCell ref="C10:C11"/>
    <mergeCell ref="D10:D11"/>
    <mergeCell ref="E10:E11"/>
    <mergeCell ref="B2:B3"/>
    <mergeCell ref="C2:C3"/>
    <mergeCell ref="D2:D3"/>
    <mergeCell ref="E2:E3"/>
    <mergeCell ref="B6:B7"/>
    <mergeCell ref="C6:C7"/>
    <mergeCell ref="D6:D7"/>
    <mergeCell ref="E6:E7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0B3EB-75A7-4C1B-B75E-2A2D005731BE}">
  <dimension ref="A2:H2447"/>
  <sheetViews>
    <sheetView topLeftCell="A9" workbookViewId="0">
      <selection activeCell="G9" sqref="G9:H257"/>
    </sheetView>
  </sheetViews>
  <sheetFormatPr baseColWidth="10" defaultColWidth="8.83203125" defaultRowHeight="15" x14ac:dyDescent="0.2"/>
  <cols>
    <col min="1" max="1" width="16.1640625" customWidth="1"/>
    <col min="2" max="2" width="17.33203125" customWidth="1"/>
    <col min="3" max="3" width="14" customWidth="1"/>
    <col min="4" max="4" width="15.1640625" customWidth="1"/>
    <col min="5" max="5" width="10.33203125" customWidth="1"/>
    <col min="6" max="6" width="13.6640625" customWidth="1"/>
    <col min="7" max="7" width="12.6640625" customWidth="1"/>
  </cols>
  <sheetData>
    <row r="2" spans="1:8" x14ac:dyDescent="0.2">
      <c r="B2" t="s">
        <v>18</v>
      </c>
    </row>
    <row r="3" spans="1:8" x14ac:dyDescent="0.2"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8" x14ac:dyDescent="0.2">
      <c r="C4" s="1">
        <f>'sample info summary'!B2*10^-6</f>
        <v>8.25E-5</v>
      </c>
      <c r="D4">
        <f>'sample info summary'!C2</f>
        <v>4.01</v>
      </c>
      <c r="E4">
        <f>'sample info summary'!D2</f>
        <v>4.03</v>
      </c>
      <c r="F4">
        <f>'sample info summary'!E2</f>
        <v>1.02</v>
      </c>
      <c r="G4" s="1">
        <f>(D4*E4*F4)*0.000000001</f>
        <v>1.6483505999999999E-8</v>
      </c>
    </row>
    <row r="7" spans="1:8" x14ac:dyDescent="0.2">
      <c r="A7" s="17" t="s">
        <v>9</v>
      </c>
      <c r="B7" s="17"/>
      <c r="C7" s="17"/>
      <c r="D7" s="17"/>
      <c r="F7" s="17" t="s">
        <v>10</v>
      </c>
      <c r="G7" s="17"/>
      <c r="H7" s="17"/>
    </row>
    <row r="8" spans="1:8" x14ac:dyDescent="0.2">
      <c r="A8" t="s">
        <v>11</v>
      </c>
      <c r="B8" t="s">
        <v>12</v>
      </c>
      <c r="C8" t="s">
        <v>13</v>
      </c>
      <c r="D8" t="s">
        <v>14</v>
      </c>
      <c r="F8" t="s">
        <v>16</v>
      </c>
      <c r="G8" t="s">
        <v>15</v>
      </c>
      <c r="H8" t="s">
        <v>17</v>
      </c>
    </row>
    <row r="9" spans="1:8" x14ac:dyDescent="0.2">
      <c r="A9">
        <v>293.168701171875</v>
      </c>
      <c r="B9">
        <v>0.426741972565651</v>
      </c>
      <c r="C9" s="1">
        <v>4.8303381668684804E-7</v>
      </c>
      <c r="D9" s="1">
        <v>3.0473111843177497E-7</v>
      </c>
      <c r="F9">
        <f t="shared" ref="F9:F72" si="0">C9/1000</f>
        <v>4.8303381668684799E-10</v>
      </c>
      <c r="G9">
        <f t="shared" ref="G9:G72" si="1">(B9*1000)/(4*PI())</f>
        <v>33.959047179304676</v>
      </c>
      <c r="H9">
        <f t="shared" ref="H9:H72" si="2">F9/$G$4</f>
        <v>2.9304070183057418E-2</v>
      </c>
    </row>
    <row r="10" spans="1:8" x14ac:dyDescent="0.2">
      <c r="A10">
        <v>293.16377258300798</v>
      </c>
      <c r="B10">
        <v>0.453980803489685</v>
      </c>
      <c r="C10" s="1">
        <v>3.6578005735909298E-7</v>
      </c>
      <c r="D10" s="1">
        <v>2.8830736482421598E-7</v>
      </c>
      <c r="F10">
        <f t="shared" si="0"/>
        <v>3.6578005735909299E-10</v>
      </c>
      <c r="G10">
        <f t="shared" si="1"/>
        <v>36.126644472106868</v>
      </c>
      <c r="H10">
        <f t="shared" si="2"/>
        <v>2.219067092638502E-2</v>
      </c>
    </row>
    <row r="11" spans="1:8" x14ac:dyDescent="0.2">
      <c r="A11">
        <v>293.15446472167997</v>
      </c>
      <c r="B11">
        <v>0.88980239629745495</v>
      </c>
      <c r="C11" s="1">
        <v>9.8631194779937804E-7</v>
      </c>
      <c r="D11" s="1">
        <v>3.4049802396566397E-7</v>
      </c>
      <c r="F11">
        <f t="shared" si="0"/>
        <v>9.8631194779937809E-10</v>
      </c>
      <c r="G11">
        <f t="shared" si="1"/>
        <v>70.808224872876778</v>
      </c>
      <c r="H11">
        <f t="shared" si="2"/>
        <v>5.9836296222380007E-2</v>
      </c>
    </row>
    <row r="12" spans="1:8" x14ac:dyDescent="0.2">
      <c r="A12">
        <v>293.14636230468699</v>
      </c>
      <c r="B12">
        <v>1.12587237358093</v>
      </c>
      <c r="C12" s="1">
        <v>6.5276299615312899E-7</v>
      </c>
      <c r="D12" s="1">
        <v>3.8163548378522198E-7</v>
      </c>
      <c r="F12">
        <f t="shared" si="0"/>
        <v>6.5276299615312899E-10</v>
      </c>
      <c r="G12">
        <f t="shared" si="1"/>
        <v>89.594076773005014</v>
      </c>
      <c r="H12">
        <f t="shared" si="2"/>
        <v>3.9600980286179956E-2</v>
      </c>
    </row>
    <row r="13" spans="1:8" x14ac:dyDescent="0.2">
      <c r="A13">
        <v>293.13954162597702</v>
      </c>
      <c r="B13">
        <v>1.7614455223083501</v>
      </c>
      <c r="C13" s="1">
        <v>3.8807716672886E-7</v>
      </c>
      <c r="D13" s="1">
        <v>2.9631803685137697E-7</v>
      </c>
      <c r="F13">
        <f t="shared" si="0"/>
        <v>3.8807716672886001E-10</v>
      </c>
      <c r="G13">
        <f t="shared" si="1"/>
        <v>140.17138093122966</v>
      </c>
      <c r="H13">
        <f t="shared" si="2"/>
        <v>2.3543363088463099E-2</v>
      </c>
    </row>
    <row r="14" spans="1:8" x14ac:dyDescent="0.2">
      <c r="A14">
        <v>293.13198852539102</v>
      </c>
      <c r="B14">
        <v>2.0610729455947898</v>
      </c>
      <c r="C14" s="1">
        <v>1.0958194573489599E-6</v>
      </c>
      <c r="D14" s="1">
        <v>3.04214977107488E-7</v>
      </c>
      <c r="F14">
        <f t="shared" si="0"/>
        <v>1.0958194573489599E-9</v>
      </c>
      <c r="G14">
        <f t="shared" si="1"/>
        <v>164.01497368219194</v>
      </c>
      <c r="H14">
        <f t="shared" si="2"/>
        <v>6.6479756026961739E-2</v>
      </c>
    </row>
    <row r="15" spans="1:8" x14ac:dyDescent="0.2">
      <c r="A15">
        <v>293.12461853027298</v>
      </c>
      <c r="B15">
        <v>2.5604516267776498</v>
      </c>
      <c r="C15" s="1">
        <v>3.7260239302470201E-7</v>
      </c>
      <c r="D15" s="1">
        <v>3.11555535949849E-7</v>
      </c>
      <c r="F15">
        <f t="shared" si="0"/>
        <v>3.7260239302470201E-10</v>
      </c>
      <c r="G15">
        <f t="shared" si="1"/>
        <v>203.75426647467387</v>
      </c>
      <c r="H15">
        <f t="shared" si="2"/>
        <v>2.26045595533318E-2</v>
      </c>
    </row>
    <row r="16" spans="1:8" x14ac:dyDescent="0.2">
      <c r="A16">
        <v>293.11624145507801</v>
      </c>
      <c r="B16">
        <v>3.6863241195678702</v>
      </c>
      <c r="C16" s="1">
        <v>8.0552296217245498E-7</v>
      </c>
      <c r="D16" s="1">
        <v>3.8164710637284401E-7</v>
      </c>
      <c r="F16">
        <f t="shared" si="0"/>
        <v>8.0552296217245503E-10</v>
      </c>
      <c r="G16">
        <f t="shared" si="1"/>
        <v>293.34835273405281</v>
      </c>
      <c r="H16">
        <f t="shared" si="2"/>
        <v>4.8868424118780014E-2</v>
      </c>
    </row>
    <row r="17" spans="1:8" x14ac:dyDescent="0.2">
      <c r="A17">
        <v>293.11033630371099</v>
      </c>
      <c r="B17">
        <v>4.2220215797424299</v>
      </c>
      <c r="C17" s="1">
        <v>6.1370874976472201E-7</v>
      </c>
      <c r="D17" s="1">
        <v>3.4651484643447602E-7</v>
      </c>
      <c r="F17">
        <f t="shared" si="0"/>
        <v>6.1370874976472198E-10</v>
      </c>
      <c r="G17">
        <f t="shared" si="1"/>
        <v>335.97780212833027</v>
      </c>
      <c r="H17">
        <f t="shared" si="2"/>
        <v>3.7231687831746595E-2</v>
      </c>
    </row>
    <row r="18" spans="1:8" x14ac:dyDescent="0.2">
      <c r="A18">
        <v>293.10386657714798</v>
      </c>
      <c r="B18">
        <v>5.8563523292541504</v>
      </c>
      <c r="C18" s="1">
        <v>1.2958353862836899E-6</v>
      </c>
      <c r="D18" s="1">
        <v>3.1523506172693398E-7</v>
      </c>
      <c r="F18">
        <f t="shared" si="0"/>
        <v>1.29583538628369E-9</v>
      </c>
      <c r="G18">
        <f t="shared" si="1"/>
        <v>466.03371084426652</v>
      </c>
      <c r="H18">
        <f t="shared" si="2"/>
        <v>7.8614063433088202E-2</v>
      </c>
    </row>
    <row r="19" spans="1:8" x14ac:dyDescent="0.2">
      <c r="A19">
        <v>293.09751892089798</v>
      </c>
      <c r="B19">
        <v>7.2455334663391104</v>
      </c>
      <c r="C19" s="1">
        <v>8.7570131221119002E-7</v>
      </c>
      <c r="D19" s="1">
        <v>2.4819093977947198E-7</v>
      </c>
      <c r="F19">
        <f t="shared" si="0"/>
        <v>8.7570131221118998E-10</v>
      </c>
      <c r="G19">
        <f t="shared" si="1"/>
        <v>576.58123325281213</v>
      </c>
      <c r="H19">
        <f t="shared" si="2"/>
        <v>5.3125913395559783E-2</v>
      </c>
    </row>
    <row r="20" spans="1:8" x14ac:dyDescent="0.2">
      <c r="A20">
        <v>293.09097290039102</v>
      </c>
      <c r="B20">
        <v>8.8526258468627894</v>
      </c>
      <c r="C20" s="1">
        <v>1.1252211307825501E-6</v>
      </c>
      <c r="D20" s="1">
        <v>2.9100211432786702E-7</v>
      </c>
      <c r="F20">
        <f t="shared" si="0"/>
        <v>1.1252211307825501E-9</v>
      </c>
      <c r="G20">
        <f t="shared" si="1"/>
        <v>704.4695814356445</v>
      </c>
      <c r="H20">
        <f t="shared" si="2"/>
        <v>6.8263458683034434E-2</v>
      </c>
    </row>
    <row r="21" spans="1:8" x14ac:dyDescent="0.2">
      <c r="A21">
        <v>293.08473205566401</v>
      </c>
      <c r="B21">
        <v>10.8229026794434</v>
      </c>
      <c r="C21" s="1">
        <v>8.6586490557011501E-7</v>
      </c>
      <c r="D21" s="1">
        <v>2.8946039076133099E-7</v>
      </c>
      <c r="F21">
        <f t="shared" si="0"/>
        <v>8.6586490557011498E-10</v>
      </c>
      <c r="G21">
        <f t="shared" si="1"/>
        <v>861.25923001796787</v>
      </c>
      <c r="H21">
        <f t="shared" si="2"/>
        <v>5.2529171013139746E-2</v>
      </c>
    </row>
    <row r="22" spans="1:8" x14ac:dyDescent="0.2">
      <c r="A22">
        <v>293.07771301269503</v>
      </c>
      <c r="B22">
        <v>13.3107171058655</v>
      </c>
      <c r="C22" s="1">
        <v>1.37429809851094E-6</v>
      </c>
      <c r="D22" s="1">
        <v>3.0835326658126097E-7</v>
      </c>
      <c r="F22">
        <f t="shared" si="0"/>
        <v>1.37429809851094E-9</v>
      </c>
      <c r="G22">
        <f t="shared" si="1"/>
        <v>1059.2332117481708</v>
      </c>
      <c r="H22">
        <f t="shared" si="2"/>
        <v>8.3374137668948592E-2</v>
      </c>
    </row>
    <row r="23" spans="1:8" x14ac:dyDescent="0.2">
      <c r="A23">
        <v>293.07220458984398</v>
      </c>
      <c r="B23">
        <v>16.443184852600101</v>
      </c>
      <c r="C23" s="1">
        <v>1.3619822830767201E-6</v>
      </c>
      <c r="D23" s="1">
        <v>2.2758872645843199E-7</v>
      </c>
      <c r="F23">
        <f t="shared" si="0"/>
        <v>1.3619822830767201E-9</v>
      </c>
      <c r="G23">
        <f t="shared" si="1"/>
        <v>1308.5070747325424</v>
      </c>
      <c r="H23">
        <f t="shared" si="2"/>
        <v>8.2626977724078857E-2</v>
      </c>
    </row>
    <row r="24" spans="1:8" x14ac:dyDescent="0.2">
      <c r="A24">
        <v>293.06701660156199</v>
      </c>
      <c r="B24">
        <v>20.456375122070298</v>
      </c>
      <c r="C24" s="1">
        <v>1.41762667697386E-6</v>
      </c>
      <c r="D24" s="1">
        <v>4.18767738015762E-7</v>
      </c>
      <c r="F24">
        <f t="shared" si="0"/>
        <v>1.4176266769738601E-9</v>
      </c>
      <c r="G24">
        <f t="shared" si="1"/>
        <v>1627.866609209781</v>
      </c>
      <c r="H24">
        <f t="shared" si="2"/>
        <v>8.6002739767490011E-2</v>
      </c>
    </row>
    <row r="25" spans="1:8" x14ac:dyDescent="0.2">
      <c r="A25">
        <v>293.06254577636702</v>
      </c>
      <c r="B25">
        <v>25.205014228820801</v>
      </c>
      <c r="C25" s="1">
        <v>1.69486970168039E-6</v>
      </c>
      <c r="D25" s="1">
        <v>2.68767117059219E-7</v>
      </c>
      <c r="F25">
        <f t="shared" si="0"/>
        <v>1.69486970168039E-9</v>
      </c>
      <c r="G25">
        <f t="shared" si="1"/>
        <v>2005.7513026091935</v>
      </c>
      <c r="H25">
        <f t="shared" si="2"/>
        <v>0.10282216063017116</v>
      </c>
    </row>
    <row r="26" spans="1:8" x14ac:dyDescent="0.2">
      <c r="A26">
        <v>293.05830383300798</v>
      </c>
      <c r="B26">
        <v>31.106764793396</v>
      </c>
      <c r="C26" s="1">
        <v>1.6429950571690099E-6</v>
      </c>
      <c r="D26" s="1">
        <v>2.6090902111064301E-7</v>
      </c>
      <c r="F26">
        <f t="shared" si="0"/>
        <v>1.6429950571690098E-9</v>
      </c>
      <c r="G26">
        <f t="shared" si="1"/>
        <v>2475.3976902329568</v>
      </c>
      <c r="H26">
        <f t="shared" si="2"/>
        <v>9.9675096861614881E-2</v>
      </c>
    </row>
    <row r="27" spans="1:8" x14ac:dyDescent="0.2">
      <c r="A27">
        <v>293.05746459960898</v>
      </c>
      <c r="B27">
        <v>38.107149124145501</v>
      </c>
      <c r="C27" s="1">
        <v>1.9026416031516299E-6</v>
      </c>
      <c r="D27" s="1">
        <v>3.6342870434404702E-7</v>
      </c>
      <c r="F27">
        <f t="shared" si="0"/>
        <v>1.9026416031516302E-9</v>
      </c>
      <c r="G27">
        <f t="shared" si="1"/>
        <v>3032.4705751238735</v>
      </c>
      <c r="H27">
        <f t="shared" si="2"/>
        <v>0.11542699733610254</v>
      </c>
    </row>
    <row r="28" spans="1:8" x14ac:dyDescent="0.2">
      <c r="A28">
        <v>293.05226135253901</v>
      </c>
      <c r="B28">
        <v>47.177684783935497</v>
      </c>
      <c r="C28" s="1">
        <v>2.5460787368588601E-6</v>
      </c>
      <c r="D28" s="1">
        <v>2.9194845725495102E-7</v>
      </c>
      <c r="F28">
        <f t="shared" si="0"/>
        <v>2.5460787368588599E-9</v>
      </c>
      <c r="G28">
        <f t="shared" si="1"/>
        <v>3754.2808684973152</v>
      </c>
      <c r="H28">
        <f t="shared" si="2"/>
        <v>0.15446220827406865</v>
      </c>
    </row>
    <row r="29" spans="1:8" x14ac:dyDescent="0.2">
      <c r="A29">
        <v>293.04936218261702</v>
      </c>
      <c r="B29">
        <v>57.9551906585693</v>
      </c>
      <c r="C29" s="1">
        <v>3.0365524220697501E-6</v>
      </c>
      <c r="D29" s="1">
        <v>2.9556921339458198E-7</v>
      </c>
      <c r="F29">
        <f t="shared" si="0"/>
        <v>3.0365524220697501E-9</v>
      </c>
      <c r="G29">
        <f t="shared" si="1"/>
        <v>4611.9275355722702</v>
      </c>
      <c r="H29">
        <f t="shared" si="2"/>
        <v>0.18421763076797804</v>
      </c>
    </row>
    <row r="30" spans="1:8" x14ac:dyDescent="0.2">
      <c r="A30">
        <v>293.04507446289102</v>
      </c>
      <c r="B30">
        <v>71.393024444580107</v>
      </c>
      <c r="C30" s="1">
        <v>3.8997959185090204E-6</v>
      </c>
      <c r="D30" s="1">
        <v>2.7763510756277502E-7</v>
      </c>
      <c r="F30">
        <f t="shared" si="0"/>
        <v>3.8997959185090203E-9</v>
      </c>
      <c r="G30">
        <f t="shared" si="1"/>
        <v>5681.2763713177201</v>
      </c>
      <c r="H30">
        <f t="shared" si="2"/>
        <v>0.23658776952603533</v>
      </c>
    </row>
    <row r="31" spans="1:8" x14ac:dyDescent="0.2">
      <c r="A31">
        <v>293.04187011718801</v>
      </c>
      <c r="B31">
        <v>88.045036315917997</v>
      </c>
      <c r="C31" s="1">
        <v>4.1717631712429798E-6</v>
      </c>
      <c r="D31" s="1">
        <v>3.35927694516263E-7</v>
      </c>
      <c r="F31">
        <f t="shared" si="0"/>
        <v>4.1717631712429798E-9</v>
      </c>
      <c r="G31">
        <f t="shared" si="1"/>
        <v>7006.4013721918936</v>
      </c>
      <c r="H31">
        <f t="shared" si="2"/>
        <v>0.25308712668548672</v>
      </c>
    </row>
    <row r="32" spans="1:8" x14ac:dyDescent="0.2">
      <c r="A32">
        <v>293.03915405273398</v>
      </c>
      <c r="B32">
        <v>108.474174499512</v>
      </c>
      <c r="C32" s="1">
        <v>5.1752744494046499E-6</v>
      </c>
      <c r="D32" s="1">
        <v>3.0628881547616102E-7</v>
      </c>
      <c r="F32">
        <f t="shared" si="0"/>
        <v>5.1752744494046498E-9</v>
      </c>
      <c r="G32">
        <f t="shared" si="1"/>
        <v>8632.1005347050796</v>
      </c>
      <c r="H32">
        <f t="shared" si="2"/>
        <v>0.31396684961346516</v>
      </c>
    </row>
    <row r="33" spans="1:8" x14ac:dyDescent="0.2">
      <c r="A33">
        <v>293.03727722167997</v>
      </c>
      <c r="B33">
        <v>133.48851776123001</v>
      </c>
      <c r="C33" s="1">
        <v>5.4227034683324097E-6</v>
      </c>
      <c r="D33" s="1">
        <v>3.37985629209511E-7</v>
      </c>
      <c r="F33">
        <f t="shared" si="0"/>
        <v>5.4227034683324099E-9</v>
      </c>
      <c r="G33">
        <f t="shared" si="1"/>
        <v>10622.678723855011</v>
      </c>
      <c r="H33">
        <f t="shared" si="2"/>
        <v>0.32897755297522324</v>
      </c>
    </row>
    <row r="34" spans="1:8" x14ac:dyDescent="0.2">
      <c r="A34">
        <v>293.03358459472702</v>
      </c>
      <c r="B34">
        <v>164.30473327636699</v>
      </c>
      <c r="C34" s="1">
        <v>7.5975658131842401E-6</v>
      </c>
      <c r="D34" s="1">
        <v>3.5823878799420302E-7</v>
      </c>
      <c r="F34">
        <f t="shared" si="0"/>
        <v>7.59756581318424E-9</v>
      </c>
      <c r="G34">
        <f t="shared" si="1"/>
        <v>13074.955237164615</v>
      </c>
      <c r="H34">
        <f t="shared" si="2"/>
        <v>0.46091928581117636</v>
      </c>
    </row>
    <row r="35" spans="1:8" x14ac:dyDescent="0.2">
      <c r="A35">
        <v>293.03114318847702</v>
      </c>
      <c r="B35">
        <v>202.38465881347699</v>
      </c>
      <c r="C35" s="1">
        <v>9.1727724135752102E-6</v>
      </c>
      <c r="D35" s="1">
        <v>3.3686062715159699E-7</v>
      </c>
      <c r="F35">
        <f t="shared" si="0"/>
        <v>9.1727724135752108E-9</v>
      </c>
      <c r="G35">
        <f t="shared" si="1"/>
        <v>16105.259428065794</v>
      </c>
      <c r="H35">
        <f t="shared" si="2"/>
        <v>0.55648188034603874</v>
      </c>
    </row>
    <row r="36" spans="1:8" x14ac:dyDescent="0.2">
      <c r="A36">
        <v>293.02824401855497</v>
      </c>
      <c r="B36">
        <v>249.09927368164099</v>
      </c>
      <c r="C36" s="1">
        <v>1.1670201702679E-5</v>
      </c>
      <c r="D36" s="1">
        <v>2.88695950474757E-7</v>
      </c>
      <c r="F36">
        <f t="shared" si="0"/>
        <v>1.1670201702679001E-8</v>
      </c>
      <c r="G36">
        <f t="shared" si="1"/>
        <v>19822.69036351702</v>
      </c>
      <c r="H36">
        <f t="shared" si="2"/>
        <v>0.70799268691254169</v>
      </c>
    </row>
    <row r="37" spans="1:8" x14ac:dyDescent="0.2">
      <c r="A37">
        <v>293.02468872070301</v>
      </c>
      <c r="B37">
        <v>306.67311096191401</v>
      </c>
      <c r="C37" s="1">
        <v>1.54260862006041E-5</v>
      </c>
      <c r="D37" s="1">
        <v>3.9114138022327399E-7</v>
      </c>
      <c r="F37">
        <f t="shared" si="0"/>
        <v>1.54260862006041E-8</v>
      </c>
      <c r="G37">
        <f t="shared" si="1"/>
        <v>24404.270761478965</v>
      </c>
      <c r="H37">
        <f t="shared" si="2"/>
        <v>0.93584982470380396</v>
      </c>
    </row>
    <row r="38" spans="1:8" x14ac:dyDescent="0.2">
      <c r="A38">
        <v>293.02207946777298</v>
      </c>
      <c r="B38">
        <v>377.93904113769503</v>
      </c>
      <c r="C38" s="1">
        <v>1.83479705611682E-5</v>
      </c>
      <c r="D38" s="1">
        <v>3.1801136006086999E-7</v>
      </c>
      <c r="F38">
        <f t="shared" si="0"/>
        <v>1.8347970561168199E-8</v>
      </c>
      <c r="G38">
        <f t="shared" si="1"/>
        <v>30075.433292237671</v>
      </c>
      <c r="H38">
        <f t="shared" si="2"/>
        <v>1.1131109219827504</v>
      </c>
    </row>
    <row r="39" spans="1:8" x14ac:dyDescent="0.2">
      <c r="A39">
        <v>293.01983642578102</v>
      </c>
      <c r="B39">
        <v>465.62088012695301</v>
      </c>
      <c r="C39" s="1">
        <v>2.3127458361574001E-5</v>
      </c>
      <c r="D39" s="1">
        <v>3.0120026563192499E-7</v>
      </c>
      <c r="F39">
        <f t="shared" si="0"/>
        <v>2.3127458361574003E-8</v>
      </c>
      <c r="G39">
        <f t="shared" si="1"/>
        <v>37052.932339501713</v>
      </c>
      <c r="H39">
        <f t="shared" si="2"/>
        <v>1.403066699619244</v>
      </c>
    </row>
    <row r="40" spans="1:8" x14ac:dyDescent="0.2">
      <c r="A40">
        <v>293.01589965820301</v>
      </c>
      <c r="B40">
        <v>573.51397705078102</v>
      </c>
      <c r="C40" s="1">
        <v>2.8303327749220199E-5</v>
      </c>
      <c r="D40" s="1">
        <v>2.88370466469154E-7</v>
      </c>
      <c r="F40">
        <f t="shared" si="0"/>
        <v>2.83033277492202E-8</v>
      </c>
      <c r="G40">
        <f t="shared" si="1"/>
        <v>45638.792189961809</v>
      </c>
      <c r="H40">
        <f t="shared" si="2"/>
        <v>1.7170696421756513</v>
      </c>
    </row>
    <row r="41" spans="1:8" x14ac:dyDescent="0.2">
      <c r="A41">
        <v>293.01445007324202</v>
      </c>
      <c r="B41">
        <v>706.07635498046898</v>
      </c>
      <c r="C41" s="1">
        <v>3.6301302286195502E-5</v>
      </c>
      <c r="D41" s="1">
        <v>2.8652990385491398E-7</v>
      </c>
      <c r="F41">
        <f t="shared" si="0"/>
        <v>3.6301302286195504E-8</v>
      </c>
      <c r="G41">
        <f t="shared" si="1"/>
        <v>56187.771047724716</v>
      </c>
      <c r="H41">
        <f t="shared" si="2"/>
        <v>2.2022804060128656</v>
      </c>
    </row>
    <row r="42" spans="1:8" x14ac:dyDescent="0.2">
      <c r="A42">
        <v>293.01179504394503</v>
      </c>
      <c r="B42">
        <v>870.06332397460903</v>
      </c>
      <c r="C42" s="1">
        <v>4.6010060025596799E-5</v>
      </c>
      <c r="D42" s="1">
        <v>2.86129644778689E-7</v>
      </c>
      <c r="F42">
        <f t="shared" si="0"/>
        <v>4.6010060025596799E-8</v>
      </c>
      <c r="G42">
        <f t="shared" si="1"/>
        <v>69237.439406762103</v>
      </c>
      <c r="H42">
        <f t="shared" si="2"/>
        <v>2.7912787501394911</v>
      </c>
    </row>
    <row r="43" spans="1:8" x14ac:dyDescent="0.2">
      <c r="A43">
        <v>293.00970458984398</v>
      </c>
      <c r="B43">
        <v>1071.1404418945301</v>
      </c>
      <c r="C43" s="1">
        <v>5.7915084985356701E-5</v>
      </c>
      <c r="D43" s="1">
        <v>3.9232131044901401E-7</v>
      </c>
      <c r="F43">
        <f t="shared" si="0"/>
        <v>5.7915084985356703E-8</v>
      </c>
      <c r="G43">
        <f t="shared" si="1"/>
        <v>85238.648036575789</v>
      </c>
      <c r="H43">
        <f t="shared" si="2"/>
        <v>3.5135173903753674</v>
      </c>
    </row>
    <row r="44" spans="1:8" x14ac:dyDescent="0.2">
      <c r="A44">
        <v>293.00762939453102</v>
      </c>
      <c r="B44">
        <v>1319.21374511719</v>
      </c>
      <c r="C44" s="1">
        <v>7.1523334785061394E-5</v>
      </c>
      <c r="D44" s="1">
        <v>3.1846168968835302E-7</v>
      </c>
      <c r="F44">
        <f t="shared" si="0"/>
        <v>7.1523334785061388E-8</v>
      </c>
      <c r="G44">
        <f t="shared" si="1"/>
        <v>104979.69426508626</v>
      </c>
      <c r="H44">
        <f t="shared" si="2"/>
        <v>4.3390850699518291</v>
      </c>
    </row>
    <row r="45" spans="1:8" x14ac:dyDescent="0.2">
      <c r="A45">
        <v>293.00518798828102</v>
      </c>
      <c r="B45">
        <v>1624.6430053710901</v>
      </c>
      <c r="C45" s="1">
        <v>8.5640295055697295E-5</v>
      </c>
      <c r="D45" s="1">
        <v>3.1019115079320002E-7</v>
      </c>
      <c r="F45">
        <f t="shared" si="0"/>
        <v>8.5640295055697289E-8</v>
      </c>
      <c r="G45">
        <f t="shared" si="1"/>
        <v>129284.98253224083</v>
      </c>
      <c r="H45">
        <f t="shared" si="2"/>
        <v>5.1955145377262157</v>
      </c>
    </row>
    <row r="46" spans="1:8" x14ac:dyDescent="0.2">
      <c r="A46">
        <v>293.00311279296898</v>
      </c>
      <c r="B46">
        <v>2001.64672851562</v>
      </c>
      <c r="C46" s="1">
        <v>9.1384734133142899E-5</v>
      </c>
      <c r="D46" s="1">
        <v>3.5769019910855998E-7</v>
      </c>
      <c r="F46">
        <f t="shared" si="0"/>
        <v>9.1384734133142894E-8</v>
      </c>
      <c r="G46">
        <f t="shared" si="1"/>
        <v>159285.98558349101</v>
      </c>
      <c r="H46">
        <f t="shared" si="2"/>
        <v>5.5440107300681607</v>
      </c>
    </row>
    <row r="47" spans="1:8" x14ac:dyDescent="0.2">
      <c r="A47">
        <v>293.00021362304699</v>
      </c>
      <c r="B47">
        <v>2464.6527099609398</v>
      </c>
      <c r="C47" s="1">
        <v>8.3844541507226895E-5</v>
      </c>
      <c r="D47" s="1">
        <v>3.35282013918953E-7</v>
      </c>
      <c r="F47">
        <f t="shared" si="0"/>
        <v>8.3844541507226897E-8</v>
      </c>
      <c r="G47">
        <f t="shared" si="1"/>
        <v>196130.8308975595</v>
      </c>
      <c r="H47">
        <f t="shared" si="2"/>
        <v>5.0865720864982791</v>
      </c>
    </row>
    <row r="48" spans="1:8" x14ac:dyDescent="0.2">
      <c r="A48">
        <v>292.99954223632801</v>
      </c>
      <c r="B48">
        <v>3035.41552734375</v>
      </c>
      <c r="C48" s="1">
        <v>6.3553091394208898E-5</v>
      </c>
      <c r="D48" s="1">
        <v>4.2285463346868702E-7</v>
      </c>
      <c r="F48">
        <f t="shared" si="0"/>
        <v>6.3553091394208895E-8</v>
      </c>
      <c r="G48">
        <f t="shared" si="1"/>
        <v>241550.69275732501</v>
      </c>
      <c r="H48">
        <f t="shared" si="2"/>
        <v>3.855556663382711</v>
      </c>
    </row>
    <row r="49" spans="1:8" x14ac:dyDescent="0.2">
      <c r="A49">
        <v>292.997314453125</v>
      </c>
      <c r="B49">
        <v>3738.3048095703102</v>
      </c>
      <c r="C49" s="1">
        <v>2.90075288677679E-5</v>
      </c>
      <c r="D49" s="1">
        <v>3.48454508031733E-7</v>
      </c>
      <c r="F49">
        <f t="shared" si="0"/>
        <v>2.9007528867767899E-8</v>
      </c>
      <c r="G49">
        <f t="shared" si="1"/>
        <v>297484.84461366071</v>
      </c>
      <c r="H49">
        <f t="shared" si="2"/>
        <v>1.7597912038717918</v>
      </c>
    </row>
    <row r="50" spans="1:8" x14ac:dyDescent="0.2">
      <c r="A50">
        <v>292.99443054199202</v>
      </c>
      <c r="B50">
        <v>4603.7194824218795</v>
      </c>
      <c r="C50" s="1">
        <v>-1.6910996101321001E-5</v>
      </c>
      <c r="D50" s="1">
        <v>3.9201954139077199E-7</v>
      </c>
      <c r="F50">
        <f t="shared" si="0"/>
        <v>-1.6910996101321E-8</v>
      </c>
      <c r="G50">
        <f t="shared" si="1"/>
        <v>366352.35611795209</v>
      </c>
      <c r="H50">
        <f t="shared" si="2"/>
        <v>-1.0259344159744292</v>
      </c>
    </row>
    <row r="51" spans="1:8" x14ac:dyDescent="0.2">
      <c r="A51">
        <v>292.99398803710898</v>
      </c>
      <c r="B51">
        <v>5669.439453125</v>
      </c>
      <c r="C51" s="1">
        <v>-4.6173136529202298E-5</v>
      </c>
      <c r="D51" s="1">
        <v>3.8578699274701499E-7</v>
      </c>
      <c r="F51">
        <f t="shared" si="0"/>
        <v>-4.6173136529202299E-8</v>
      </c>
      <c r="G51">
        <f t="shared" si="1"/>
        <v>451159.65676252783</v>
      </c>
      <c r="H51">
        <f t="shared" si="2"/>
        <v>-2.8011720643170395</v>
      </c>
    </row>
    <row r="52" spans="1:8" x14ac:dyDescent="0.2">
      <c r="A52">
        <v>292.99232482910202</v>
      </c>
      <c r="B52">
        <v>6982.3154296875</v>
      </c>
      <c r="C52" s="1">
        <v>-7.0120741824242496E-5</v>
      </c>
      <c r="D52" s="1">
        <v>2.7755782117235499E-7</v>
      </c>
      <c r="F52">
        <f t="shared" si="0"/>
        <v>-7.012074182424249E-8</v>
      </c>
      <c r="G52">
        <f t="shared" si="1"/>
        <v>555635.00743078836</v>
      </c>
      <c r="H52">
        <f t="shared" si="2"/>
        <v>-4.2539943762111347</v>
      </c>
    </row>
    <row r="53" spans="1:8" x14ac:dyDescent="0.2">
      <c r="A53">
        <v>292.98941040039102</v>
      </c>
      <c r="B53">
        <v>8599.23193359375</v>
      </c>
      <c r="C53" s="1">
        <v>-9.5989127278614994E-5</v>
      </c>
      <c r="D53" s="1">
        <v>4.0218830408285498E-7</v>
      </c>
      <c r="F53">
        <f t="shared" si="0"/>
        <v>-9.5989127278614995E-8</v>
      </c>
      <c r="G53">
        <f t="shared" si="1"/>
        <v>684305.13451256126</v>
      </c>
      <c r="H53">
        <f t="shared" si="2"/>
        <v>-5.8233440918828192</v>
      </c>
    </row>
    <row r="54" spans="1:8" x14ac:dyDescent="0.2">
      <c r="A54">
        <v>292.98785400390602</v>
      </c>
      <c r="B54">
        <v>10590.164550781299</v>
      </c>
      <c r="C54">
        <v>-1.25016752226355E-4</v>
      </c>
      <c r="D54" s="1">
        <v>4.6072668965309901E-7</v>
      </c>
      <c r="F54">
        <f t="shared" si="0"/>
        <v>-1.2501675222635501E-7</v>
      </c>
      <c r="G54">
        <f t="shared" si="1"/>
        <v>842738.51820670243</v>
      </c>
      <c r="H54">
        <f t="shared" si="2"/>
        <v>-7.5843544587149738</v>
      </c>
    </row>
    <row r="55" spans="1:8" x14ac:dyDescent="0.2">
      <c r="A55">
        <v>292.98765563964798</v>
      </c>
      <c r="B55">
        <v>13041.579589843799</v>
      </c>
      <c r="C55">
        <v>-1.6055285219756499E-4</v>
      </c>
      <c r="D55" s="1">
        <v>5.4960080692953296E-7</v>
      </c>
      <c r="F55">
        <f t="shared" si="0"/>
        <v>-1.60552852197565E-7</v>
      </c>
      <c r="G55">
        <f t="shared" si="1"/>
        <v>1037815.9287250068</v>
      </c>
      <c r="H55">
        <f t="shared" si="2"/>
        <v>-9.7402125614274659</v>
      </c>
    </row>
    <row r="56" spans="1:8" x14ac:dyDescent="0.2">
      <c r="A56">
        <v>292.98463439941401</v>
      </c>
      <c r="B56">
        <v>16061.413574218701</v>
      </c>
      <c r="C56">
        <v>-2.03943483249564E-4</v>
      </c>
      <c r="D56" s="1">
        <v>5.4871674303348797E-7</v>
      </c>
      <c r="F56">
        <f t="shared" si="0"/>
        <v>-2.0394348324956401E-7</v>
      </c>
      <c r="G56">
        <f t="shared" si="1"/>
        <v>1278126.6816900864</v>
      </c>
      <c r="H56">
        <f t="shared" si="2"/>
        <v>-12.37257918610058</v>
      </c>
    </row>
    <row r="57" spans="1:8" x14ac:dyDescent="0.2">
      <c r="A57">
        <v>292.98490905761702</v>
      </c>
      <c r="B57">
        <v>19779.6884765625</v>
      </c>
      <c r="C57">
        <v>-2.5641516628911899E-4</v>
      </c>
      <c r="D57" s="1">
        <v>4.9621390004122799E-7</v>
      </c>
      <c r="F57">
        <f t="shared" si="0"/>
        <v>-2.5641516628911898E-7</v>
      </c>
      <c r="G57">
        <f t="shared" si="1"/>
        <v>1574017.5969313614</v>
      </c>
      <c r="H57">
        <f t="shared" si="2"/>
        <v>-15.555863315068954</v>
      </c>
    </row>
    <row r="58" spans="1:8" x14ac:dyDescent="0.2">
      <c r="A58">
        <v>292.98213195800798</v>
      </c>
      <c r="B58">
        <v>24359.2578125</v>
      </c>
      <c r="C58">
        <v>-3.2116158715624798E-4</v>
      </c>
      <c r="D58" s="1">
        <v>6.6360049693509196E-7</v>
      </c>
      <c r="F58">
        <f t="shared" si="0"/>
        <v>-3.2116158715624797E-7</v>
      </c>
      <c r="G58">
        <f t="shared" si="1"/>
        <v>1938448.1454546223</v>
      </c>
      <c r="H58">
        <f t="shared" si="2"/>
        <v>-19.483815345852271</v>
      </c>
    </row>
    <row r="59" spans="1:8" x14ac:dyDescent="0.2">
      <c r="A59">
        <v>292.98179626464798</v>
      </c>
      <c r="B59">
        <v>29999.8515625</v>
      </c>
      <c r="C59">
        <v>-4.0028371994167602E-4</v>
      </c>
      <c r="D59" s="1">
        <v>7.4615095203066895E-7</v>
      </c>
      <c r="F59">
        <f t="shared" si="0"/>
        <v>-4.0028371994167604E-7</v>
      </c>
      <c r="G59">
        <f t="shared" si="1"/>
        <v>2387312.3340974976</v>
      </c>
      <c r="H59">
        <f t="shared" si="2"/>
        <v>-24.283894454351888</v>
      </c>
    </row>
    <row r="60" spans="1:8" x14ac:dyDescent="0.2">
      <c r="A60">
        <v>292.97978210449202</v>
      </c>
      <c r="B60">
        <v>24359.6396484375</v>
      </c>
      <c r="C60">
        <v>-3.2087826249658699E-4</v>
      </c>
      <c r="D60" s="1">
        <v>6.3727179205129597E-7</v>
      </c>
      <c r="F60">
        <f t="shared" si="0"/>
        <v>-3.2087826249658698E-7</v>
      </c>
      <c r="G60">
        <f t="shared" si="1"/>
        <v>1938478.5309930739</v>
      </c>
      <c r="H60">
        <f t="shared" si="2"/>
        <v>-19.466626972234366</v>
      </c>
    </row>
    <row r="61" spans="1:8" x14ac:dyDescent="0.2">
      <c r="A61">
        <v>292.97869873046898</v>
      </c>
      <c r="B61">
        <v>19779.9521484375</v>
      </c>
      <c r="C61">
        <v>-2.5769245155009702E-4</v>
      </c>
      <c r="D61" s="1">
        <v>5.2156854239209699E-7</v>
      </c>
      <c r="F61">
        <f t="shared" si="0"/>
        <v>-2.5769245155009705E-7</v>
      </c>
      <c r="G61">
        <f t="shared" si="1"/>
        <v>1574038.5792724916</v>
      </c>
      <c r="H61">
        <f t="shared" si="2"/>
        <v>-15.633352003517762</v>
      </c>
    </row>
    <row r="62" spans="1:8" x14ac:dyDescent="0.2">
      <c r="A62">
        <v>292.98030090332003</v>
      </c>
      <c r="B62">
        <v>16061.287109375</v>
      </c>
      <c r="C62">
        <v>-2.04545564718122E-4</v>
      </c>
      <c r="D62" s="1">
        <v>5.2497803984724895E-7</v>
      </c>
      <c r="F62">
        <f t="shared" si="0"/>
        <v>-2.0454556471812199E-7</v>
      </c>
      <c r="G62">
        <f t="shared" si="1"/>
        <v>1278116.6179375851</v>
      </c>
      <c r="H62">
        <f t="shared" si="2"/>
        <v>-12.409105485090491</v>
      </c>
    </row>
    <row r="63" spans="1:8" x14ac:dyDescent="0.2">
      <c r="A63">
        <v>292.97879028320301</v>
      </c>
      <c r="B63">
        <v>13041.506347656299</v>
      </c>
      <c r="C63">
        <v>-1.6208872288240301E-4</v>
      </c>
      <c r="D63" s="1">
        <v>6.1403598849258604E-7</v>
      </c>
      <c r="F63">
        <f t="shared" si="0"/>
        <v>-1.6208872288240302E-7</v>
      </c>
      <c r="G63">
        <f t="shared" si="1"/>
        <v>1037810.100296915</v>
      </c>
      <c r="H63">
        <f t="shared" si="2"/>
        <v>-9.8333887755677125</v>
      </c>
    </row>
    <row r="64" spans="1:8" x14ac:dyDescent="0.2">
      <c r="A64">
        <v>292.978515625</v>
      </c>
      <c r="B64">
        <v>10590.228515625</v>
      </c>
      <c r="C64">
        <v>-1.2589955839918801E-4</v>
      </c>
      <c r="D64" s="1">
        <v>4.0019268283742201E-7</v>
      </c>
      <c r="F64">
        <f t="shared" si="0"/>
        <v>-1.2589955839918801E-7</v>
      </c>
      <c r="G64">
        <f t="shared" si="1"/>
        <v>842743.60836723202</v>
      </c>
      <c r="H64">
        <f t="shared" si="2"/>
        <v>-7.6379114005957245</v>
      </c>
    </row>
    <row r="65" spans="1:8" x14ac:dyDescent="0.2">
      <c r="A65">
        <v>292.97941589355497</v>
      </c>
      <c r="B65">
        <v>8599.1865234375</v>
      </c>
      <c r="C65" s="1">
        <v>-9.6593819101353898E-5</v>
      </c>
      <c r="D65" s="1">
        <v>5.11256987628645E-7</v>
      </c>
      <c r="F65">
        <f t="shared" si="0"/>
        <v>-9.6593819101353901E-8</v>
      </c>
      <c r="G65">
        <f t="shared" si="1"/>
        <v>684301.52088714438</v>
      </c>
      <c r="H65">
        <f t="shared" si="2"/>
        <v>-5.8600287524604235</v>
      </c>
    </row>
    <row r="66" spans="1:8" x14ac:dyDescent="0.2">
      <c r="A66">
        <v>292.97860717773398</v>
      </c>
      <c r="B66">
        <v>6981.93408203125</v>
      </c>
      <c r="C66" s="1">
        <v>-7.1282849416856405E-5</v>
      </c>
      <c r="D66" s="1">
        <v>4.4901748031797299E-7</v>
      </c>
      <c r="F66">
        <f t="shared" si="0"/>
        <v>-7.1282849416856411E-8</v>
      </c>
      <c r="G66">
        <f t="shared" si="1"/>
        <v>555604.66074852413</v>
      </c>
      <c r="H66">
        <f t="shared" si="2"/>
        <v>-4.3244956150018341</v>
      </c>
    </row>
    <row r="67" spans="1:8" x14ac:dyDescent="0.2">
      <c r="A67">
        <v>292.97846984863298</v>
      </c>
      <c r="B67">
        <v>5669.31201171875</v>
      </c>
      <c r="C67" s="1">
        <v>-4.8555410807930098E-5</v>
      </c>
      <c r="D67" s="1">
        <v>3.7293014617510002E-7</v>
      </c>
      <c r="F67">
        <f t="shared" si="0"/>
        <v>-4.85554108079301E-8</v>
      </c>
      <c r="G67">
        <f t="shared" si="1"/>
        <v>451149.51529764821</v>
      </c>
      <c r="H67">
        <f t="shared" si="2"/>
        <v>-2.9456967958109219</v>
      </c>
    </row>
    <row r="68" spans="1:8" x14ac:dyDescent="0.2">
      <c r="A68">
        <v>292.97869873046898</v>
      </c>
      <c r="B68">
        <v>4603.056640625</v>
      </c>
      <c r="C68" s="1">
        <v>-2.4253303299970899E-5</v>
      </c>
      <c r="D68" s="1">
        <v>4.7714178420496504E-7</v>
      </c>
      <c r="F68">
        <f t="shared" si="0"/>
        <v>-2.4253303299970901E-8</v>
      </c>
      <c r="G68">
        <f t="shared" si="1"/>
        <v>366299.60884372139</v>
      </c>
      <c r="H68">
        <f t="shared" si="2"/>
        <v>-1.4713680026549512</v>
      </c>
    </row>
    <row r="69" spans="1:8" x14ac:dyDescent="0.2">
      <c r="A69">
        <v>292.97810363769503</v>
      </c>
      <c r="B69">
        <v>3737.6876220703102</v>
      </c>
      <c r="C69" s="1">
        <v>2.78581446956731E-6</v>
      </c>
      <c r="D69" s="1">
        <v>3.5249657297390198E-7</v>
      </c>
      <c r="F69">
        <f t="shared" si="0"/>
        <v>2.7858144695673099E-9</v>
      </c>
      <c r="G69">
        <f t="shared" si="1"/>
        <v>297435.73039294092</v>
      </c>
      <c r="H69">
        <f t="shared" si="2"/>
        <v>0.16900618530835068</v>
      </c>
    </row>
    <row r="70" spans="1:8" x14ac:dyDescent="0.2">
      <c r="A70">
        <v>292.97814941406301</v>
      </c>
      <c r="B70">
        <v>3035.0069580078102</v>
      </c>
      <c r="C70" s="1">
        <v>3.2560120928430403E-5</v>
      </c>
      <c r="D70" s="1">
        <v>3.5727437404937202E-7</v>
      </c>
      <c r="F70">
        <f t="shared" si="0"/>
        <v>3.2560120928430405E-8</v>
      </c>
      <c r="G70">
        <f t="shared" si="1"/>
        <v>241518.17984261972</v>
      </c>
      <c r="H70">
        <f t="shared" si="2"/>
        <v>1.9753152592919496</v>
      </c>
    </row>
    <row r="71" spans="1:8" x14ac:dyDescent="0.2">
      <c r="A71">
        <v>292.97869873046898</v>
      </c>
      <c r="B71">
        <v>2464.70727539062</v>
      </c>
      <c r="C71" s="1">
        <v>5.5950911832188502E-5</v>
      </c>
      <c r="D71" s="1">
        <v>3.1449669500438302E-7</v>
      </c>
      <c r="F71">
        <f t="shared" si="0"/>
        <v>5.59509118321885E-8</v>
      </c>
      <c r="G71">
        <f t="shared" si="1"/>
        <v>196135.17307648726</v>
      </c>
      <c r="H71">
        <f t="shared" si="2"/>
        <v>3.3943574766307911</v>
      </c>
    </row>
    <row r="72" spans="1:8" x14ac:dyDescent="0.2">
      <c r="A72">
        <v>292.97874450683599</v>
      </c>
      <c r="B72">
        <v>2000.93859863281</v>
      </c>
      <c r="C72" s="1">
        <v>6.9228654420632805E-5</v>
      </c>
      <c r="D72" s="1">
        <v>3.5999128085388298E-7</v>
      </c>
      <c r="F72">
        <f t="shared" si="0"/>
        <v>6.9228654420632809E-8</v>
      </c>
      <c r="G72">
        <f t="shared" si="1"/>
        <v>159229.63439789083</v>
      </c>
      <c r="H72">
        <f t="shared" si="2"/>
        <v>4.1998743726384919</v>
      </c>
    </row>
    <row r="73" spans="1:8" x14ac:dyDescent="0.2">
      <c r="A73">
        <v>292.97865295410202</v>
      </c>
      <c r="B73">
        <v>1624.67028808594</v>
      </c>
      <c r="C73" s="1">
        <v>7.0514990234425297E-5</v>
      </c>
      <c r="D73" s="1">
        <v>3.0722868940503902E-7</v>
      </c>
      <c r="F73">
        <f t="shared" ref="F73:F136" si="3">C73/1000</f>
        <v>7.0514990234425298E-8</v>
      </c>
      <c r="G73">
        <f t="shared" ref="G73:G136" si="4">(B73*1000)/(4*PI())</f>
        <v>129287.1536217055</v>
      </c>
      <c r="H73">
        <f t="shared" ref="H73:H136" si="5">F73/$G$4</f>
        <v>4.277912128307249</v>
      </c>
    </row>
    <row r="74" spans="1:8" x14ac:dyDescent="0.2">
      <c r="A74">
        <v>292.97871398925798</v>
      </c>
      <c r="B74">
        <v>1319.1592407226599</v>
      </c>
      <c r="C74" s="1">
        <v>6.3521700587256303E-5</v>
      </c>
      <c r="D74" s="1">
        <v>3.5890445999515502E-7</v>
      </c>
      <c r="F74">
        <f t="shared" si="3"/>
        <v>6.3521700587256308E-8</v>
      </c>
      <c r="G74">
        <f t="shared" si="4"/>
        <v>104975.35694318141</v>
      </c>
      <c r="H74">
        <f t="shared" si="5"/>
        <v>3.8536522865497371</v>
      </c>
    </row>
    <row r="75" spans="1:8" x14ac:dyDescent="0.2">
      <c r="A75">
        <v>292.97929382324202</v>
      </c>
      <c r="B75">
        <v>1071.70349121094</v>
      </c>
      <c r="C75" s="1">
        <v>5.4387117125213397E-5</v>
      </c>
      <c r="D75" s="1">
        <v>3.1458534857657699E-7</v>
      </c>
      <c r="F75">
        <f t="shared" si="3"/>
        <v>5.4387117125213397E-8</v>
      </c>
      <c r="G75">
        <f t="shared" si="4"/>
        <v>85283.454077531365</v>
      </c>
      <c r="H75">
        <f t="shared" si="5"/>
        <v>3.2994872040701413</v>
      </c>
    </row>
    <row r="76" spans="1:8" x14ac:dyDescent="0.2">
      <c r="A76">
        <v>292.97917175292997</v>
      </c>
      <c r="B76">
        <v>869.97250366210903</v>
      </c>
      <c r="C76" s="1">
        <v>4.4323203150496698E-5</v>
      </c>
      <c r="D76" s="1">
        <v>3.64335048970691E-7</v>
      </c>
      <c r="F76">
        <f t="shared" si="3"/>
        <v>4.4323203150496699E-8</v>
      </c>
      <c r="G76">
        <f t="shared" si="4"/>
        <v>69230.212155928341</v>
      </c>
      <c r="H76">
        <f t="shared" si="5"/>
        <v>2.6889427012976914</v>
      </c>
    </row>
    <row r="77" spans="1:8" x14ac:dyDescent="0.2">
      <c r="A77">
        <v>292.97779846191401</v>
      </c>
      <c r="B77">
        <v>706.01281738281295</v>
      </c>
      <c r="C77" s="1">
        <v>3.7769572661510399E-5</v>
      </c>
      <c r="D77" s="1">
        <v>3.4559462998979402E-7</v>
      </c>
      <c r="F77">
        <f t="shared" si="3"/>
        <v>3.7769572661510401E-8</v>
      </c>
      <c r="G77">
        <f t="shared" si="4"/>
        <v>56182.714886355148</v>
      </c>
      <c r="H77">
        <f t="shared" si="5"/>
        <v>2.2913555321004164</v>
      </c>
    </row>
    <row r="78" spans="1:8" x14ac:dyDescent="0.2">
      <c r="A78">
        <v>292.97790527343801</v>
      </c>
      <c r="B78">
        <v>573.05090332031295</v>
      </c>
      <c r="C78" s="1">
        <v>3.15066406015684E-5</v>
      </c>
      <c r="D78" s="1">
        <v>2.59553339028098E-7</v>
      </c>
      <c r="F78">
        <f t="shared" si="3"/>
        <v>3.1506640601568401E-8</v>
      </c>
      <c r="G78">
        <f t="shared" si="4"/>
        <v>45601.941953351816</v>
      </c>
      <c r="H78">
        <f t="shared" si="5"/>
        <v>1.9114040788148106</v>
      </c>
    </row>
    <row r="79" spans="1:8" x14ac:dyDescent="0.2">
      <c r="A79">
        <v>292.97702026367199</v>
      </c>
      <c r="B79">
        <v>465.63903808593699</v>
      </c>
      <c r="C79" s="1">
        <v>2.6354012769268501E-5</v>
      </c>
      <c r="D79" s="1">
        <v>3.7832698315201E-7</v>
      </c>
      <c r="F79">
        <f t="shared" si="3"/>
        <v>2.63540127692685E-8</v>
      </c>
      <c r="G79">
        <f t="shared" si="4"/>
        <v>37054.377303966095</v>
      </c>
      <c r="H79">
        <f t="shared" si="5"/>
        <v>1.5988111248461645</v>
      </c>
    </row>
    <row r="80" spans="1:8" x14ac:dyDescent="0.2">
      <c r="A80">
        <v>292.97959899902298</v>
      </c>
      <c r="B80">
        <v>377.96626281738298</v>
      </c>
      <c r="C80" s="1">
        <v>2.19880905978414E-5</v>
      </c>
      <c r="D80" s="1">
        <v>3.67174630298454E-7</v>
      </c>
      <c r="F80">
        <f t="shared" si="3"/>
        <v>2.19880905978414E-8</v>
      </c>
      <c r="G80">
        <f t="shared" si="4"/>
        <v>30077.599524678473</v>
      </c>
      <c r="H80">
        <f t="shared" si="5"/>
        <v>1.3339450113247389</v>
      </c>
    </row>
    <row r="81" spans="1:8" x14ac:dyDescent="0.2">
      <c r="A81">
        <v>292.97817993164102</v>
      </c>
      <c r="B81">
        <v>306.50968933105497</v>
      </c>
      <c r="C81" s="1">
        <v>1.8826679293998099E-5</v>
      </c>
      <c r="D81" s="1">
        <v>4.0584828719257498E-7</v>
      </c>
      <c r="F81">
        <f t="shared" si="3"/>
        <v>1.8826679293998099E-8</v>
      </c>
      <c r="G81">
        <f t="shared" si="4"/>
        <v>24391.266081299287</v>
      </c>
      <c r="H81">
        <f t="shared" si="5"/>
        <v>1.1421526035782741</v>
      </c>
    </row>
    <row r="82" spans="1:8" x14ac:dyDescent="0.2">
      <c r="A82">
        <v>292.97834777832003</v>
      </c>
      <c r="B82">
        <v>248.863204956055</v>
      </c>
      <c r="C82" s="1">
        <v>1.54844172263913E-5</v>
      </c>
      <c r="D82" s="1">
        <v>2.8296619294204898E-7</v>
      </c>
      <c r="F82">
        <f t="shared" si="3"/>
        <v>1.5484417226391299E-8</v>
      </c>
      <c r="G82">
        <f t="shared" si="4"/>
        <v>19803.90461122381</v>
      </c>
      <c r="H82">
        <f t="shared" si="5"/>
        <v>0.93938857585220648</v>
      </c>
    </row>
    <row r="83" spans="1:8" x14ac:dyDescent="0.2">
      <c r="A83">
        <v>292.97679138183599</v>
      </c>
      <c r="B83">
        <v>202.00329589843801</v>
      </c>
      <c r="C83" s="1">
        <v>1.41573751990961E-5</v>
      </c>
      <c r="D83" s="1">
        <v>3.4780217988471701E-7</v>
      </c>
      <c r="F83">
        <f t="shared" si="3"/>
        <v>1.41573751990961E-8</v>
      </c>
      <c r="G83">
        <f t="shared" si="4"/>
        <v>16074.9115315456</v>
      </c>
      <c r="H83">
        <f t="shared" si="5"/>
        <v>0.85888130832700882</v>
      </c>
    </row>
    <row r="84" spans="1:8" x14ac:dyDescent="0.2">
      <c r="A84">
        <v>292.97749328613298</v>
      </c>
      <c r="B84">
        <v>164.15946960449199</v>
      </c>
      <c r="C84" s="1">
        <v>1.23199738289504E-5</v>
      </c>
      <c r="D84" s="1">
        <v>3.0367103544080602E-7</v>
      </c>
      <c r="F84">
        <f t="shared" si="3"/>
        <v>1.23199738289504E-8</v>
      </c>
      <c r="G84">
        <f t="shared" si="4"/>
        <v>13063.395521449322</v>
      </c>
      <c r="H84">
        <f t="shared" si="5"/>
        <v>0.74741222097716353</v>
      </c>
    </row>
    <row r="85" spans="1:8" x14ac:dyDescent="0.2">
      <c r="A85">
        <v>292.97816467285202</v>
      </c>
      <c r="B85">
        <v>133.32508850097699</v>
      </c>
      <c r="C85" s="1">
        <v>1.05598272064112E-5</v>
      </c>
      <c r="D85" s="1">
        <v>2.8948470272972802E-7</v>
      </c>
      <c r="F85">
        <f t="shared" si="3"/>
        <v>1.05598272064112E-8</v>
      </c>
      <c r="G85">
        <f t="shared" si="4"/>
        <v>10609.673436547451</v>
      </c>
      <c r="H85">
        <f t="shared" si="5"/>
        <v>0.64062992462957824</v>
      </c>
    </row>
    <row r="86" spans="1:8" x14ac:dyDescent="0.2">
      <c r="A86">
        <v>292.97856140136702</v>
      </c>
      <c r="B86">
        <v>108.247184753418</v>
      </c>
      <c r="C86" s="1">
        <v>9.2095309920630695E-6</v>
      </c>
      <c r="D86" s="1">
        <v>3.3578458563515E-7</v>
      </c>
      <c r="F86">
        <f t="shared" si="3"/>
        <v>9.2095309920630701E-9</v>
      </c>
      <c r="G86">
        <f t="shared" si="4"/>
        <v>8614.037264644061</v>
      </c>
      <c r="H86">
        <f t="shared" si="5"/>
        <v>0.55871190219259614</v>
      </c>
    </row>
    <row r="87" spans="1:8" x14ac:dyDescent="0.2">
      <c r="A87">
        <v>292.97901916503901</v>
      </c>
      <c r="B87">
        <v>87.854362487792997</v>
      </c>
      <c r="C87" s="1">
        <v>7.90897825050006E-6</v>
      </c>
      <c r="D87" s="1">
        <v>3.45190304686896E-7</v>
      </c>
      <c r="F87">
        <f t="shared" si="3"/>
        <v>7.9089782505000592E-9</v>
      </c>
      <c r="G87">
        <f t="shared" si="4"/>
        <v>6991.2280310597198</v>
      </c>
      <c r="H87">
        <f t="shared" si="5"/>
        <v>0.47981165235721451</v>
      </c>
    </row>
    <row r="88" spans="1:8" x14ac:dyDescent="0.2">
      <c r="A88">
        <v>292.97874450683599</v>
      </c>
      <c r="B88">
        <v>71.147872924804702</v>
      </c>
      <c r="C88" s="1">
        <v>7.6947060254468204E-6</v>
      </c>
      <c r="D88" s="1">
        <v>3.5130292637262102E-7</v>
      </c>
      <c r="F88">
        <f t="shared" si="3"/>
        <v>7.6947060254468212E-9</v>
      </c>
      <c r="G88">
        <f t="shared" si="4"/>
        <v>5661.7678332283467</v>
      </c>
      <c r="H88">
        <f t="shared" si="5"/>
        <v>0.46681246243649999</v>
      </c>
    </row>
    <row r="89" spans="1:8" x14ac:dyDescent="0.2">
      <c r="A89">
        <v>292.97657775878901</v>
      </c>
      <c r="B89">
        <v>57.755437850952198</v>
      </c>
      <c r="C89" s="1">
        <v>6.2467166039259604E-6</v>
      </c>
      <c r="D89" s="1">
        <v>2.8552732600552899E-7</v>
      </c>
      <c r="F89">
        <f t="shared" si="3"/>
        <v>6.2467166039259608E-9</v>
      </c>
      <c r="G89">
        <f t="shared" si="4"/>
        <v>4596.0317122078977</v>
      </c>
      <c r="H89">
        <f t="shared" si="5"/>
        <v>0.37896771499497506</v>
      </c>
    </row>
    <row r="90" spans="1:8" x14ac:dyDescent="0.2">
      <c r="A90">
        <v>292.97799682617199</v>
      </c>
      <c r="B90">
        <v>46.6238307952881</v>
      </c>
      <c r="C90" s="1">
        <v>5.7122827200567897E-6</v>
      </c>
      <c r="D90" s="1">
        <v>2.9815670365060301E-7</v>
      </c>
      <c r="F90">
        <f t="shared" si="3"/>
        <v>5.7122827200567898E-9</v>
      </c>
      <c r="G90">
        <f t="shared" si="4"/>
        <v>3710.2065684751174</v>
      </c>
      <c r="H90">
        <f t="shared" si="5"/>
        <v>0.34654537208630193</v>
      </c>
    </row>
    <row r="91" spans="1:8" x14ac:dyDescent="0.2">
      <c r="A91">
        <v>292.97793579101602</v>
      </c>
      <c r="B91">
        <v>37.707645416259801</v>
      </c>
      <c r="C91" s="1">
        <v>5.5246569559345404E-6</v>
      </c>
      <c r="D91" s="1">
        <v>3.8079599365881099E-7</v>
      </c>
      <c r="F91">
        <f t="shared" si="3"/>
        <v>5.52465695593454E-9</v>
      </c>
      <c r="G91">
        <f t="shared" si="4"/>
        <v>3000.6790801770985</v>
      </c>
      <c r="H91">
        <f t="shared" si="5"/>
        <v>0.33516273515686168</v>
      </c>
    </row>
    <row r="92" spans="1:8" x14ac:dyDescent="0.2">
      <c r="A92">
        <v>292.97857666015602</v>
      </c>
      <c r="B92">
        <v>30.689102172851602</v>
      </c>
      <c r="C92" s="1">
        <v>5.20448760059635E-6</v>
      </c>
      <c r="D92" s="1">
        <v>2.7811953072708498E-7</v>
      </c>
      <c r="F92">
        <f t="shared" si="3"/>
        <v>5.2044876005963498E-9</v>
      </c>
      <c r="G92">
        <f t="shared" si="4"/>
        <v>2442.161154930779</v>
      </c>
      <c r="H92">
        <f t="shared" si="5"/>
        <v>0.31573911524625586</v>
      </c>
    </row>
    <row r="93" spans="1:8" x14ac:dyDescent="0.2">
      <c r="A93">
        <v>292.97840881347702</v>
      </c>
      <c r="B93">
        <v>24.723793983459501</v>
      </c>
      <c r="C93" s="1">
        <v>4.3633824386697401E-6</v>
      </c>
      <c r="D93" s="1">
        <v>3.9352259502227801E-7</v>
      </c>
      <c r="F93">
        <f t="shared" si="3"/>
        <v>4.3633824386697401E-9</v>
      </c>
      <c r="G93">
        <f t="shared" si="4"/>
        <v>1967.4570122266207</v>
      </c>
      <c r="H93">
        <f t="shared" si="5"/>
        <v>0.26471203630281936</v>
      </c>
    </row>
    <row r="94" spans="1:8" x14ac:dyDescent="0.2">
      <c r="A94">
        <v>292.97824096679699</v>
      </c>
      <c r="B94">
        <v>20.0023946762085</v>
      </c>
      <c r="C94" s="1">
        <v>4.8498229767100601E-6</v>
      </c>
      <c r="D94" s="1">
        <v>3.08331951868891E-7</v>
      </c>
      <c r="F94">
        <f t="shared" si="3"/>
        <v>4.8498229767100601E-9</v>
      </c>
      <c r="G94">
        <f t="shared" si="4"/>
        <v>1591.7399931967971</v>
      </c>
      <c r="H94">
        <f t="shared" si="5"/>
        <v>0.29422278104609906</v>
      </c>
    </row>
    <row r="95" spans="1:8" x14ac:dyDescent="0.2">
      <c r="A95">
        <v>292.97695922851602</v>
      </c>
      <c r="B95">
        <v>16.2252740859985</v>
      </c>
      <c r="C95" s="1">
        <v>3.5797305620260398E-6</v>
      </c>
      <c r="D95" s="1">
        <v>3.6432349291985601E-7</v>
      </c>
      <c r="F95">
        <f t="shared" si="3"/>
        <v>3.57973056202604E-9</v>
      </c>
      <c r="G95">
        <f t="shared" si="4"/>
        <v>1291.1662869037477</v>
      </c>
      <c r="H95">
        <f t="shared" si="5"/>
        <v>0.21717045888332495</v>
      </c>
    </row>
    <row r="96" spans="1:8" x14ac:dyDescent="0.2">
      <c r="A96">
        <v>292.97869873046898</v>
      </c>
      <c r="B96">
        <v>12.883975982666</v>
      </c>
      <c r="C96" s="1">
        <v>4.0433244857083098E-6</v>
      </c>
      <c r="D96" s="1">
        <v>3.0536192379925898E-7</v>
      </c>
      <c r="F96">
        <f t="shared" si="3"/>
        <v>4.0433244857083095E-9</v>
      </c>
      <c r="G96">
        <f t="shared" si="4"/>
        <v>1025.2742321592768</v>
      </c>
      <c r="H96">
        <f t="shared" si="5"/>
        <v>0.24529517480736865</v>
      </c>
    </row>
    <row r="97" spans="1:8" x14ac:dyDescent="0.2">
      <c r="A97">
        <v>292.97901916503901</v>
      </c>
      <c r="B97">
        <v>10.323523521423301</v>
      </c>
      <c r="C97" s="1">
        <v>4.4859108027475503E-6</v>
      </c>
      <c r="D97" s="1">
        <v>3.2376359759918301E-7</v>
      </c>
      <c r="F97">
        <f t="shared" si="3"/>
        <v>4.48591080274755E-9</v>
      </c>
      <c r="G97">
        <f t="shared" si="4"/>
        <v>821.51989927998432</v>
      </c>
      <c r="H97">
        <f t="shared" si="5"/>
        <v>0.27214542845117723</v>
      </c>
    </row>
    <row r="98" spans="1:8" x14ac:dyDescent="0.2">
      <c r="A98">
        <v>292.97883605957003</v>
      </c>
      <c r="B98">
        <v>8.3532471656799299</v>
      </c>
      <c r="C98" s="1">
        <v>3.0501041161330599E-6</v>
      </c>
      <c r="D98" s="1">
        <v>4.0447165648429902E-7</v>
      </c>
      <c r="F98">
        <f t="shared" si="3"/>
        <v>3.0501041161330599E-9</v>
      </c>
      <c r="G98">
        <f t="shared" si="4"/>
        <v>664.73028864316268</v>
      </c>
      <c r="H98">
        <f t="shared" si="5"/>
        <v>0.18503976739736439</v>
      </c>
    </row>
    <row r="99" spans="1:8" x14ac:dyDescent="0.2">
      <c r="A99">
        <v>292.97833251953102</v>
      </c>
      <c r="B99">
        <v>6.7552342414856001</v>
      </c>
      <c r="C99" s="1">
        <v>4.0914662471910904E-6</v>
      </c>
      <c r="D99" s="1">
        <v>3.3998122776465101E-7</v>
      </c>
      <c r="F99">
        <f t="shared" si="3"/>
        <v>4.0914662471910905E-9</v>
      </c>
      <c r="G99">
        <f t="shared" si="4"/>
        <v>537.56446063803173</v>
      </c>
      <c r="H99">
        <f t="shared" si="5"/>
        <v>0.2482157768614936</v>
      </c>
    </row>
    <row r="100" spans="1:8" x14ac:dyDescent="0.2">
      <c r="A100">
        <v>292.97933959960898</v>
      </c>
      <c r="B100">
        <v>6.3284926414489702</v>
      </c>
      <c r="C100" s="1">
        <v>3.5784969846620801E-6</v>
      </c>
      <c r="D100" s="1">
        <v>3.3500660971331298E-7</v>
      </c>
      <c r="F100">
        <f t="shared" si="3"/>
        <v>3.5784969846620803E-9</v>
      </c>
      <c r="G100">
        <f t="shared" si="4"/>
        <v>503.60544310364463</v>
      </c>
      <c r="H100">
        <f t="shared" si="5"/>
        <v>0.2170956218089817</v>
      </c>
    </row>
    <row r="101" spans="1:8" x14ac:dyDescent="0.2">
      <c r="A101">
        <v>292.97877502441401</v>
      </c>
      <c r="B101">
        <v>4.1130661964416504</v>
      </c>
      <c r="C101" s="1">
        <v>3.3485583954613801E-6</v>
      </c>
      <c r="D101" s="1">
        <v>3.2906293455346399E-7</v>
      </c>
      <c r="F101">
        <f t="shared" si="3"/>
        <v>3.3485583954613801E-9</v>
      </c>
      <c r="G101">
        <f t="shared" si="4"/>
        <v>327.30740821393465</v>
      </c>
      <c r="H101">
        <f t="shared" si="5"/>
        <v>0.20314600519218304</v>
      </c>
    </row>
    <row r="102" spans="1:8" x14ac:dyDescent="0.2">
      <c r="A102">
        <v>292.97811889648398</v>
      </c>
      <c r="B102">
        <v>4.0767476558685303</v>
      </c>
      <c r="C102" s="1">
        <v>3.4637568502884001E-6</v>
      </c>
      <c r="D102" s="1">
        <v>2.9582228119508198E-7</v>
      </c>
      <c r="F102">
        <f t="shared" si="3"/>
        <v>3.4637568502884001E-9</v>
      </c>
      <c r="G102">
        <f t="shared" si="4"/>
        <v>324.41727058488681</v>
      </c>
      <c r="H102">
        <f t="shared" si="5"/>
        <v>0.21013471589650892</v>
      </c>
    </row>
    <row r="103" spans="1:8" x14ac:dyDescent="0.2">
      <c r="A103">
        <v>292.97848510742199</v>
      </c>
      <c r="B103">
        <v>3.6590853929519702</v>
      </c>
      <c r="C103" s="1">
        <v>3.5081281002675E-6</v>
      </c>
      <c r="D103" s="1">
        <v>3.5077309668451302E-7</v>
      </c>
      <c r="F103">
        <f t="shared" si="3"/>
        <v>3.5081281002675001E-9</v>
      </c>
      <c r="G103">
        <f t="shared" si="4"/>
        <v>291.18076374182817</v>
      </c>
      <c r="H103">
        <f t="shared" si="5"/>
        <v>0.21282657344059572</v>
      </c>
    </row>
    <row r="104" spans="1:8" x14ac:dyDescent="0.2">
      <c r="A104">
        <v>292.97836303710898</v>
      </c>
      <c r="B104">
        <v>3.24142301082611</v>
      </c>
      <c r="C104" s="1">
        <v>3.3747644074832598E-6</v>
      </c>
      <c r="D104" s="1">
        <v>3.5085417767168199E-7</v>
      </c>
      <c r="F104">
        <f t="shared" si="3"/>
        <v>3.37476440748326E-9</v>
      </c>
      <c r="G104">
        <f t="shared" si="4"/>
        <v>257.94424741239482</v>
      </c>
      <c r="H104">
        <f t="shared" si="5"/>
        <v>0.20473583759931049</v>
      </c>
    </row>
    <row r="105" spans="1:8" x14ac:dyDescent="0.2">
      <c r="A105">
        <v>292.97807312011702</v>
      </c>
      <c r="B105">
        <v>1.59801244735718</v>
      </c>
      <c r="C105" s="1">
        <v>3.5734271624252601E-6</v>
      </c>
      <c r="D105" s="1">
        <v>3.0767897891374199E-7</v>
      </c>
      <c r="F105">
        <f t="shared" si="3"/>
        <v>3.57342716242526E-9</v>
      </c>
      <c r="G105">
        <f t="shared" si="4"/>
        <v>127.16579005963619</v>
      </c>
      <c r="H105">
        <f t="shared" si="5"/>
        <v>0.2167880523976671</v>
      </c>
    </row>
    <row r="106" spans="1:8" x14ac:dyDescent="0.2">
      <c r="A106">
        <v>292.97947692871099</v>
      </c>
      <c r="B106">
        <v>1.4981366991996801</v>
      </c>
      <c r="C106" s="1">
        <v>2.9015044932186698E-6</v>
      </c>
      <c r="D106" s="1">
        <v>2.7154640190364999E-7</v>
      </c>
      <c r="F106">
        <f t="shared" si="3"/>
        <v>2.9015044932186697E-9</v>
      </c>
      <c r="G106">
        <f t="shared" si="4"/>
        <v>119.21793055250251</v>
      </c>
      <c r="H106">
        <f t="shared" si="5"/>
        <v>0.1760247178736532</v>
      </c>
    </row>
    <row r="107" spans="1:8" x14ac:dyDescent="0.2">
      <c r="A107">
        <v>292.97772216796898</v>
      </c>
      <c r="B107">
        <v>1.53445512056351</v>
      </c>
      <c r="C107" s="1">
        <v>3.0625907824939099E-6</v>
      </c>
      <c r="D107" s="1">
        <v>3.6969167523282099E-7</v>
      </c>
      <c r="F107">
        <f t="shared" si="3"/>
        <v>3.0625907824939099E-9</v>
      </c>
      <c r="G107">
        <f t="shared" si="4"/>
        <v>122.10805869517642</v>
      </c>
      <c r="H107">
        <f t="shared" si="5"/>
        <v>0.1857972923050418</v>
      </c>
    </row>
    <row r="108" spans="1:8" x14ac:dyDescent="0.2">
      <c r="A108">
        <v>292.97912597656199</v>
      </c>
      <c r="B108">
        <v>1.53445512056351</v>
      </c>
      <c r="C108" s="1">
        <v>3.9484502832147302E-6</v>
      </c>
      <c r="D108" s="1">
        <v>3.7466150168924398E-7</v>
      </c>
      <c r="F108">
        <f t="shared" si="3"/>
        <v>3.9484502832147299E-9</v>
      </c>
      <c r="G108">
        <f t="shared" si="4"/>
        <v>122.10805869517642</v>
      </c>
      <c r="H108">
        <f t="shared" si="5"/>
        <v>0.23953946952879626</v>
      </c>
    </row>
    <row r="109" spans="1:8" x14ac:dyDescent="0.2">
      <c r="A109">
        <v>292.97839355468699</v>
      </c>
      <c r="B109">
        <v>-1.75236588716507</v>
      </c>
      <c r="C109" s="1">
        <v>3.4415359310362899E-6</v>
      </c>
      <c r="D109" s="1">
        <v>3.3750610224584899E-7</v>
      </c>
      <c r="F109">
        <f t="shared" si="3"/>
        <v>3.4415359310362898E-9</v>
      </c>
      <c r="G109">
        <f t="shared" si="4"/>
        <v>-139.44884652396772</v>
      </c>
      <c r="H109">
        <f t="shared" si="5"/>
        <v>0.20878664593784174</v>
      </c>
    </row>
    <row r="110" spans="1:8" x14ac:dyDescent="0.2">
      <c r="A110">
        <v>292.97798156738298</v>
      </c>
      <c r="B110">
        <v>-1.79776394367218</v>
      </c>
      <c r="C110" s="1">
        <v>3.5498626741056102E-6</v>
      </c>
      <c r="D110" s="1">
        <v>2.49999600019321E-7</v>
      </c>
      <c r="F110">
        <f t="shared" si="3"/>
        <v>3.5498626741056101E-9</v>
      </c>
      <c r="G110">
        <f t="shared" si="4"/>
        <v>-143.06150907390358</v>
      </c>
      <c r="H110">
        <f t="shared" si="5"/>
        <v>0.21535847253039556</v>
      </c>
    </row>
    <row r="111" spans="1:8" x14ac:dyDescent="0.2">
      <c r="A111">
        <v>292.97837829589798</v>
      </c>
      <c r="B111">
        <v>-1.82500284910202</v>
      </c>
      <c r="C111" s="1">
        <v>2.927246567155E-6</v>
      </c>
      <c r="D111" s="1">
        <v>3.2702086068243499E-7</v>
      </c>
      <c r="F111">
        <f t="shared" si="3"/>
        <v>2.927246567155E-9</v>
      </c>
      <c r="G111">
        <f t="shared" si="4"/>
        <v>-145.22911229568942</v>
      </c>
      <c r="H111">
        <f t="shared" si="5"/>
        <v>0.17758640468569006</v>
      </c>
    </row>
    <row r="112" spans="1:8" x14ac:dyDescent="0.2">
      <c r="A112">
        <v>292.97825622558599</v>
      </c>
      <c r="B112">
        <v>-1.7432863116264301</v>
      </c>
      <c r="C112" s="1">
        <v>3.3769437650926299E-6</v>
      </c>
      <c r="D112" s="1">
        <v>3.1558205745832198E-7</v>
      </c>
      <c r="F112">
        <f t="shared" si="3"/>
        <v>3.37694376509263E-9</v>
      </c>
      <c r="G112">
        <f t="shared" si="4"/>
        <v>-138.72631685989231</v>
      </c>
      <c r="H112">
        <f t="shared" si="5"/>
        <v>0.204868052045034</v>
      </c>
    </row>
    <row r="113" spans="1:8" x14ac:dyDescent="0.2">
      <c r="A113">
        <v>292.97885131835898</v>
      </c>
      <c r="B113">
        <v>-1.9884359240531899</v>
      </c>
      <c r="C113" s="1">
        <v>3.1013149146278699E-6</v>
      </c>
      <c r="D113" s="1">
        <v>3.47279480038108E-7</v>
      </c>
      <c r="F113">
        <f t="shared" si="3"/>
        <v>3.10131491462787E-9</v>
      </c>
      <c r="G113">
        <f t="shared" si="4"/>
        <v>-158.23470316728287</v>
      </c>
      <c r="H113">
        <f t="shared" si="5"/>
        <v>0.18814655781530157</v>
      </c>
    </row>
    <row r="114" spans="1:8" x14ac:dyDescent="0.2">
      <c r="A114">
        <v>292.97865295410202</v>
      </c>
      <c r="B114">
        <v>-2.71480512619019</v>
      </c>
      <c r="C114" s="1">
        <v>3.7207255127457498E-6</v>
      </c>
      <c r="D114" s="1">
        <v>3.2823638972548601E-7</v>
      </c>
      <c r="F114">
        <f t="shared" si="3"/>
        <v>3.7207255127457498E-9</v>
      </c>
      <c r="G114">
        <f t="shared" si="4"/>
        <v>-216.03732768219274</v>
      </c>
      <c r="H114">
        <f t="shared" si="5"/>
        <v>0.22572415800047332</v>
      </c>
    </row>
    <row r="115" spans="1:8" x14ac:dyDescent="0.2">
      <c r="A115">
        <v>292.97743225097702</v>
      </c>
      <c r="B115">
        <v>-3.1687860488891602</v>
      </c>
      <c r="C115" s="1">
        <v>3.37103487255969E-6</v>
      </c>
      <c r="D115" s="1">
        <v>4.6463700934275502E-7</v>
      </c>
      <c r="F115">
        <f t="shared" si="3"/>
        <v>3.3710348725596902E-9</v>
      </c>
      <c r="G115">
        <f t="shared" si="4"/>
        <v>-252.16398164067309</v>
      </c>
      <c r="H115">
        <f t="shared" si="5"/>
        <v>0.20450957900338013</v>
      </c>
    </row>
    <row r="116" spans="1:8" x14ac:dyDescent="0.2">
      <c r="A116">
        <v>292.97792053222702</v>
      </c>
      <c r="B116">
        <v>-5.3115756511688197</v>
      </c>
      <c r="C116" s="1">
        <v>3.0592470395546299E-6</v>
      </c>
      <c r="D116" s="1">
        <v>3.0331961937610999E-7</v>
      </c>
      <c r="F116">
        <f t="shared" si="3"/>
        <v>3.05924703955463E-9</v>
      </c>
      <c r="G116">
        <f t="shared" si="4"/>
        <v>-422.68176024503521</v>
      </c>
      <c r="H116">
        <f t="shared" si="5"/>
        <v>0.18559443843771042</v>
      </c>
    </row>
    <row r="117" spans="1:8" x14ac:dyDescent="0.2">
      <c r="A117">
        <v>292.976806640625</v>
      </c>
      <c r="B117">
        <v>-5.3478941917419398</v>
      </c>
      <c r="C117" s="1">
        <v>3.1907761383272699E-6</v>
      </c>
      <c r="D117" s="1">
        <v>2.9826992594834098E-7</v>
      </c>
      <c r="F117">
        <f t="shared" si="3"/>
        <v>3.1907761383272698E-9</v>
      </c>
      <c r="G117">
        <f t="shared" si="4"/>
        <v>-425.57189787408305</v>
      </c>
      <c r="H117">
        <f t="shared" si="5"/>
        <v>0.1935738755048392</v>
      </c>
    </row>
    <row r="118" spans="1:8" x14ac:dyDescent="0.2">
      <c r="A118">
        <v>292.97793579101602</v>
      </c>
      <c r="B118">
        <v>-7.8992657661437997</v>
      </c>
      <c r="C118" s="1">
        <v>2.6898043462017598E-6</v>
      </c>
      <c r="D118" s="1">
        <v>2.9938960153080798E-7</v>
      </c>
      <c r="F118">
        <f t="shared" si="3"/>
        <v>2.6898043462017596E-9</v>
      </c>
      <c r="G118">
        <f t="shared" si="4"/>
        <v>-628.60359673918674</v>
      </c>
      <c r="H118">
        <f t="shared" si="5"/>
        <v>0.16318156745305032</v>
      </c>
    </row>
    <row r="119" spans="1:8" x14ac:dyDescent="0.2">
      <c r="A119">
        <v>292.97964477539102</v>
      </c>
      <c r="B119">
        <v>-8.3623266220092791</v>
      </c>
      <c r="C119" s="1">
        <v>2.4823368100971799E-6</v>
      </c>
      <c r="D119" s="1">
        <v>3.0501475629026802E-7</v>
      </c>
      <c r="F119">
        <f t="shared" si="3"/>
        <v>2.4823368100971801E-9</v>
      </c>
      <c r="G119">
        <f t="shared" si="4"/>
        <v>-665.45280882086411</v>
      </c>
      <c r="H119">
        <f t="shared" si="5"/>
        <v>0.15059519559110668</v>
      </c>
    </row>
    <row r="120" spans="1:8" x14ac:dyDescent="0.2">
      <c r="A120">
        <v>292.97888183593699</v>
      </c>
      <c r="B120">
        <v>-11.567430973053</v>
      </c>
      <c r="C120" s="1">
        <v>2.3252221616283498E-6</v>
      </c>
      <c r="D120" s="1">
        <v>3.2922847696907798E-7</v>
      </c>
      <c r="F120">
        <f t="shared" si="3"/>
        <v>2.3252221616283498E-9</v>
      </c>
      <c r="G120">
        <f t="shared" si="4"/>
        <v>-920.50690911783886</v>
      </c>
      <c r="H120">
        <f t="shared" si="5"/>
        <v>0.14106356752188218</v>
      </c>
    </row>
    <row r="121" spans="1:8" x14ac:dyDescent="0.2">
      <c r="A121">
        <v>292.97775268554699</v>
      </c>
      <c r="B121">
        <v>-14.037086486816399</v>
      </c>
      <c r="C121" s="1">
        <v>2.4528195753099298E-6</v>
      </c>
      <c r="D121" s="1">
        <v>3.0648201927157099E-7</v>
      </c>
      <c r="F121">
        <f t="shared" si="3"/>
        <v>2.4528195753099298E-9</v>
      </c>
      <c r="G121">
        <f t="shared" si="4"/>
        <v>-1117.0358504926385</v>
      </c>
      <c r="H121">
        <f t="shared" si="5"/>
        <v>0.1488044822084531</v>
      </c>
    </row>
    <row r="122" spans="1:8" x14ac:dyDescent="0.2">
      <c r="A122">
        <v>292.97766113281199</v>
      </c>
      <c r="B122">
        <v>-17.233111381530801</v>
      </c>
      <c r="C122" s="1">
        <v>2.7328748863452501E-6</v>
      </c>
      <c r="D122" s="1">
        <v>2.7044193996435699E-7</v>
      </c>
      <c r="F122">
        <f t="shared" si="3"/>
        <v>2.7328748863452501E-9</v>
      </c>
      <c r="G122">
        <f t="shared" si="4"/>
        <v>-1371.3674306119144</v>
      </c>
      <c r="H122">
        <f t="shared" si="5"/>
        <v>0.16579451521692354</v>
      </c>
    </row>
    <row r="123" spans="1:8" x14ac:dyDescent="0.2">
      <c r="A123">
        <v>292.97807312011702</v>
      </c>
      <c r="B123">
        <v>-21.073788642883301</v>
      </c>
      <c r="C123" s="1">
        <v>2.1022635398546302E-6</v>
      </c>
      <c r="D123" s="1">
        <v>2.6149664809791301E-7</v>
      </c>
      <c r="F123">
        <f t="shared" si="3"/>
        <v>2.1022635398546302E-9</v>
      </c>
      <c r="G123">
        <f t="shared" si="4"/>
        <v>-1676.998816094361</v>
      </c>
      <c r="H123">
        <f t="shared" si="5"/>
        <v>0.12753740253163559</v>
      </c>
    </row>
    <row r="124" spans="1:8" x14ac:dyDescent="0.2">
      <c r="A124">
        <v>292.97889709472702</v>
      </c>
      <c r="B124">
        <v>-25.840586662292498</v>
      </c>
      <c r="C124" s="1">
        <v>1.7867973532448999E-6</v>
      </c>
      <c r="D124" s="1">
        <v>3.8521995299898101E-7</v>
      </c>
      <c r="F124">
        <f t="shared" si="3"/>
        <v>1.7867973532448999E-9</v>
      </c>
      <c r="G124">
        <f t="shared" si="4"/>
        <v>-2056.3285498491764</v>
      </c>
      <c r="H124">
        <f t="shared" si="5"/>
        <v>0.10839910837202353</v>
      </c>
    </row>
    <row r="125" spans="1:8" x14ac:dyDescent="0.2">
      <c r="A125">
        <v>292.97836303710898</v>
      </c>
      <c r="B125">
        <v>-31.687862396240199</v>
      </c>
      <c r="C125" s="1">
        <v>1.9157258939785801E-6</v>
      </c>
      <c r="D125" s="1">
        <v>3.4730096982186301E-7</v>
      </c>
      <c r="F125">
        <f t="shared" si="3"/>
        <v>1.91572589397858E-9</v>
      </c>
      <c r="G125">
        <f t="shared" si="4"/>
        <v>-2521.6399681887096</v>
      </c>
      <c r="H125">
        <f t="shared" si="5"/>
        <v>0.11622077815111544</v>
      </c>
    </row>
    <row r="126" spans="1:8" x14ac:dyDescent="0.2">
      <c r="A126">
        <v>292.97836303710898</v>
      </c>
      <c r="B126">
        <v>-38.733642578125</v>
      </c>
      <c r="C126" s="1">
        <v>1.6696664082049301E-6</v>
      </c>
      <c r="D126" s="1">
        <v>2.5894004969964099E-7</v>
      </c>
      <c r="F126">
        <f t="shared" si="3"/>
        <v>1.66966640820493E-9</v>
      </c>
      <c r="G126">
        <f t="shared" si="4"/>
        <v>-3082.3253401316492</v>
      </c>
      <c r="H126">
        <f t="shared" si="5"/>
        <v>0.10129315985354877</v>
      </c>
    </row>
    <row r="127" spans="1:8" x14ac:dyDescent="0.2">
      <c r="A127">
        <v>292.97764587402298</v>
      </c>
      <c r="B127">
        <v>-47.704301834106403</v>
      </c>
      <c r="C127" s="1">
        <v>9.6314064818648405E-7</v>
      </c>
      <c r="D127" s="1">
        <v>3.7447001234226598E-7</v>
      </c>
      <c r="F127">
        <f t="shared" si="3"/>
        <v>9.631406481864841E-10</v>
      </c>
      <c r="G127">
        <f t="shared" si="4"/>
        <v>-3796.1877218229015</v>
      </c>
      <c r="H127">
        <f t="shared" si="5"/>
        <v>5.8430569818489111E-2</v>
      </c>
    </row>
    <row r="128" spans="1:8" x14ac:dyDescent="0.2">
      <c r="A128">
        <v>292.97723388671898</v>
      </c>
      <c r="B128">
        <v>-58.554445266723597</v>
      </c>
      <c r="C128" s="1">
        <v>5.7155931843023395E-7</v>
      </c>
      <c r="D128" s="1">
        <v>3.2911651783099299E-7</v>
      </c>
      <c r="F128">
        <f t="shared" si="3"/>
        <v>5.7155931843023393E-10</v>
      </c>
      <c r="G128">
        <f t="shared" si="4"/>
        <v>-4659.6147021014476</v>
      </c>
      <c r="H128">
        <f t="shared" si="5"/>
        <v>3.467462070449296E-2</v>
      </c>
    </row>
    <row r="129" spans="1:8" x14ac:dyDescent="0.2">
      <c r="A129">
        <v>292.97726440429699</v>
      </c>
      <c r="B129">
        <v>-71.983196258544893</v>
      </c>
      <c r="C129" s="1">
        <v>2.5295833511007098E-7</v>
      </c>
      <c r="D129" s="1">
        <v>2.6116428736972901E-7</v>
      </c>
      <c r="F129">
        <f t="shared" si="3"/>
        <v>2.5295833511007096E-10</v>
      </c>
      <c r="G129">
        <f t="shared" si="4"/>
        <v>-5728.2407520507231</v>
      </c>
      <c r="H129">
        <f t="shared" si="5"/>
        <v>1.5346148756828248E-2</v>
      </c>
    </row>
    <row r="130" spans="1:8" x14ac:dyDescent="0.2">
      <c r="A130">
        <v>292.97831726074202</v>
      </c>
      <c r="B130">
        <v>-88.499015808105497</v>
      </c>
      <c r="C130" s="1">
        <v>-8.9715813673762301E-7</v>
      </c>
      <c r="D130" s="1">
        <v>3.2422499522202702E-7</v>
      </c>
      <c r="F130">
        <f t="shared" si="3"/>
        <v>-8.9715813673762305E-10</v>
      </c>
      <c r="G130">
        <f t="shared" si="4"/>
        <v>-7042.527912313888</v>
      </c>
      <c r="H130">
        <f t="shared" si="5"/>
        <v>-5.4427628244720701E-2</v>
      </c>
    </row>
    <row r="131" spans="1:8" x14ac:dyDescent="0.2">
      <c r="A131">
        <v>292.97816467285202</v>
      </c>
      <c r="B131">
        <v>-108.79195785522499</v>
      </c>
      <c r="C131" s="1">
        <v>-1.6925301916462701E-6</v>
      </c>
      <c r="D131" s="1">
        <v>3.2080400303990899E-7</v>
      </c>
      <c r="F131">
        <f t="shared" si="3"/>
        <v>-1.6925301916462701E-9</v>
      </c>
      <c r="G131">
        <f t="shared" si="4"/>
        <v>-8657.388930652105</v>
      </c>
      <c r="H131">
        <f t="shared" si="5"/>
        <v>-0.10268023026450018</v>
      </c>
    </row>
    <row r="132" spans="1:8" x14ac:dyDescent="0.2">
      <c r="A132">
        <v>292.977294921875</v>
      </c>
      <c r="B132">
        <v>-133.960655212402</v>
      </c>
      <c r="C132" s="1">
        <v>-2.6632197980846298E-6</v>
      </c>
      <c r="D132" s="1">
        <v>3.3774970259301401E-7</v>
      </c>
      <c r="F132">
        <f t="shared" si="3"/>
        <v>-2.66321979808463E-9</v>
      </c>
      <c r="G132">
        <f t="shared" si="4"/>
        <v>-10660.250228441426</v>
      </c>
      <c r="H132">
        <f t="shared" si="5"/>
        <v>-0.16156877050820562</v>
      </c>
    </row>
    <row r="133" spans="1:8" x14ac:dyDescent="0.2">
      <c r="A133">
        <v>292.97830200195301</v>
      </c>
      <c r="B133">
        <v>-164.94937896728501</v>
      </c>
      <c r="C133" s="1">
        <v>-4.5253734803607601E-6</v>
      </c>
      <c r="D133" s="1">
        <v>3.2021608137594198E-7</v>
      </c>
      <c r="F133">
        <f t="shared" si="3"/>
        <v>-4.5253734803607602E-9</v>
      </c>
      <c r="G133">
        <f t="shared" si="4"/>
        <v>-13126.254511290863</v>
      </c>
      <c r="H133">
        <f t="shared" si="5"/>
        <v>-0.27453949908234088</v>
      </c>
    </row>
    <row r="134" spans="1:8" x14ac:dyDescent="0.2">
      <c r="A134">
        <v>292.97944641113298</v>
      </c>
      <c r="B134">
        <v>-203.11100769043</v>
      </c>
      <c r="C134" s="1">
        <v>-5.7857645863149097E-6</v>
      </c>
      <c r="D134" s="1">
        <v>3.7369399709559302E-7</v>
      </c>
      <c r="F134">
        <f t="shared" si="3"/>
        <v>-5.7857645863149096E-9</v>
      </c>
      <c r="G134">
        <f t="shared" si="4"/>
        <v>-16163.060435153953</v>
      </c>
      <c r="H134">
        <f t="shared" si="5"/>
        <v>-0.35100327480785398</v>
      </c>
    </row>
    <row r="135" spans="1:8" x14ac:dyDescent="0.2">
      <c r="A135">
        <v>292.97856140136702</v>
      </c>
      <c r="B135">
        <v>-250.03446960449199</v>
      </c>
      <c r="C135" s="1">
        <v>-8.3821473187257307E-6</v>
      </c>
      <c r="D135" s="1">
        <v>3.9263657688014698E-7</v>
      </c>
      <c r="F135">
        <f t="shared" si="3"/>
        <v>-8.3821473187257304E-9</v>
      </c>
      <c r="G135">
        <f t="shared" si="4"/>
        <v>-19897.110890457578</v>
      </c>
      <c r="H135">
        <f t="shared" si="5"/>
        <v>-0.50851726075300552</v>
      </c>
    </row>
    <row r="136" spans="1:8" x14ac:dyDescent="0.2">
      <c r="A136">
        <v>292.97804260253901</v>
      </c>
      <c r="B136">
        <v>-307.41764831542997</v>
      </c>
      <c r="C136" s="1">
        <v>-1.11115055319361E-5</v>
      </c>
      <c r="D136" s="1">
        <v>2.9581520121644198E-7</v>
      </c>
      <c r="F136">
        <f t="shared" si="3"/>
        <v>-1.11115055319361E-8</v>
      </c>
      <c r="G136">
        <f t="shared" si="4"/>
        <v>-24463.519161543278</v>
      </c>
      <c r="H136">
        <f t="shared" si="5"/>
        <v>-0.6740984309973922</v>
      </c>
    </row>
    <row r="137" spans="1:8" x14ac:dyDescent="0.2">
      <c r="A137">
        <v>292.97760009765602</v>
      </c>
      <c r="B137">
        <v>-378.58366394042997</v>
      </c>
      <c r="C137" s="1">
        <v>-1.51554878830323E-5</v>
      </c>
      <c r="D137" s="1">
        <v>2.8662215501329301E-7</v>
      </c>
      <c r="F137">
        <f t="shared" ref="F137:F200" si="6">C137/1000</f>
        <v>-1.51554878830323E-8</v>
      </c>
      <c r="G137">
        <f t="shared" ref="G137:G200" si="7">(B137*1000)/(4*PI())</f>
        <v>-30126.730744980181</v>
      </c>
      <c r="H137">
        <f t="shared" ref="H137:H200" si="8">F137/$G$4</f>
        <v>-0.91943351633034265</v>
      </c>
    </row>
    <row r="138" spans="1:8" x14ac:dyDescent="0.2">
      <c r="A138">
        <v>292.97883605957003</v>
      </c>
      <c r="B138">
        <v>-466.16564941406301</v>
      </c>
      <c r="C138" s="1">
        <v>-1.9209767638586599E-5</v>
      </c>
      <c r="D138" s="1">
        <v>3.6897947847167498E-7</v>
      </c>
      <c r="F138">
        <f t="shared" si="6"/>
        <v>-1.9209767638586599E-8</v>
      </c>
      <c r="G138">
        <f t="shared" si="7"/>
        <v>-37096.283701945817</v>
      </c>
      <c r="H138">
        <f t="shared" si="8"/>
        <v>-1.1653933112643997</v>
      </c>
    </row>
    <row r="139" spans="1:8" x14ac:dyDescent="0.2">
      <c r="A139">
        <v>292.97723388671898</v>
      </c>
      <c r="B139">
        <v>-573.64108276367199</v>
      </c>
      <c r="C139" s="1">
        <v>-2.51487487388518E-5</v>
      </c>
      <c r="D139" s="1">
        <v>2.92365892392867E-7</v>
      </c>
      <c r="F139">
        <f t="shared" si="6"/>
        <v>-2.51487487388518E-8</v>
      </c>
      <c r="G139">
        <f t="shared" si="7"/>
        <v>-45648.906941212721</v>
      </c>
      <c r="H139">
        <f t="shared" si="8"/>
        <v>-1.5256917271636146</v>
      </c>
    </row>
    <row r="140" spans="1:8" x14ac:dyDescent="0.2">
      <c r="A140">
        <v>292.97811889648398</v>
      </c>
      <c r="B140">
        <v>-706.51217651367199</v>
      </c>
      <c r="C140" s="1">
        <v>-3.2252183676084998E-5</v>
      </c>
      <c r="D140" s="1">
        <v>3.5340366392173398E-7</v>
      </c>
      <c r="F140">
        <f t="shared" si="6"/>
        <v>-3.2252183676084995E-8</v>
      </c>
      <c r="G140">
        <f t="shared" si="7"/>
        <v>-56222.452623382291</v>
      </c>
      <c r="H140">
        <f t="shared" si="8"/>
        <v>-1.956633720768203</v>
      </c>
    </row>
    <row r="141" spans="1:8" x14ac:dyDescent="0.2">
      <c r="A141">
        <v>292.97879028320301</v>
      </c>
      <c r="B141">
        <v>-870.35385131835903</v>
      </c>
      <c r="C141" s="1">
        <v>-4.0749653797867799E-5</v>
      </c>
      <c r="D141" s="1">
        <v>3.4713826058235501E-7</v>
      </c>
      <c r="F141">
        <f t="shared" si="6"/>
        <v>-4.0749653797867796E-8</v>
      </c>
      <c r="G141">
        <f t="shared" si="7"/>
        <v>-69260.558838192679</v>
      </c>
      <c r="H141">
        <f t="shared" si="8"/>
        <v>-2.4721472360229555</v>
      </c>
    </row>
    <row r="142" spans="1:8" x14ac:dyDescent="0.2">
      <c r="A142">
        <v>292.97727966308599</v>
      </c>
      <c r="B142">
        <v>-1071.7306518554699</v>
      </c>
      <c r="C142" s="1">
        <v>-5.2381373046440803E-5</v>
      </c>
      <c r="D142" s="1">
        <v>3.2693381652452801E-7</v>
      </c>
      <c r="F142">
        <f t="shared" si="6"/>
        <v>-5.2381373046440806E-8</v>
      </c>
      <c r="G142">
        <f t="shared" si="7"/>
        <v>-85285.615452948608</v>
      </c>
      <c r="H142">
        <f t="shared" si="8"/>
        <v>-3.1778053192349254</v>
      </c>
    </row>
    <row r="143" spans="1:8" x14ac:dyDescent="0.2">
      <c r="A143">
        <v>292.97897338867199</v>
      </c>
      <c r="B143">
        <v>-1319.47717285156</v>
      </c>
      <c r="C143" s="1">
        <v>-6.4450616759156504E-5</v>
      </c>
      <c r="D143" s="1">
        <v>3.1295308348054902E-7</v>
      </c>
      <c r="F143">
        <f t="shared" si="6"/>
        <v>-6.4450616759156504E-8</v>
      </c>
      <c r="G143">
        <f t="shared" si="7"/>
        <v>-105000.65717812249</v>
      </c>
      <c r="H143">
        <f t="shared" si="8"/>
        <v>-3.9100065701530067</v>
      </c>
    </row>
    <row r="144" spans="1:8" x14ac:dyDescent="0.2">
      <c r="A144">
        <v>292.97830200195301</v>
      </c>
      <c r="B144">
        <v>-1624.8427124023401</v>
      </c>
      <c r="C144" s="1">
        <v>-7.7649465785332994E-5</v>
      </c>
      <c r="D144" s="1">
        <v>3.1734865732599002E-7</v>
      </c>
      <c r="F144">
        <f t="shared" si="6"/>
        <v>-7.7649465785332991E-8</v>
      </c>
      <c r="G144">
        <f t="shared" si="7"/>
        <v>-129300.87471283764</v>
      </c>
      <c r="H144">
        <f t="shared" si="8"/>
        <v>-4.7107372536724288</v>
      </c>
    </row>
    <row r="145" spans="1:8" x14ac:dyDescent="0.2">
      <c r="A145">
        <v>292.97874450683599</v>
      </c>
      <c r="B145">
        <v>-2001.4833374023401</v>
      </c>
      <c r="C145" s="1">
        <v>-8.4235491799319296E-5</v>
      </c>
      <c r="D145" s="1">
        <v>3.6821788558998503E-7</v>
      </c>
      <c r="F145">
        <f t="shared" si="6"/>
        <v>-8.4235491799319297E-8</v>
      </c>
      <c r="G145">
        <f t="shared" si="7"/>
        <v>-159272.98333182308</v>
      </c>
      <c r="H145">
        <f t="shared" si="8"/>
        <v>-5.1102897526363202</v>
      </c>
    </row>
    <row r="146" spans="1:8" x14ac:dyDescent="0.2">
      <c r="A146">
        <v>292.97909545898398</v>
      </c>
      <c r="B146">
        <v>-2464.19873046875</v>
      </c>
      <c r="C146" s="1">
        <v>-7.5241426566858801E-5</v>
      </c>
      <c r="D146" s="1">
        <v>2.9558469295538099E-7</v>
      </c>
      <c r="F146">
        <f t="shared" si="6"/>
        <v>-7.5241426566858803E-8</v>
      </c>
      <c r="G146">
        <f t="shared" si="7"/>
        <v>-196094.70435743732</v>
      </c>
      <c r="H146">
        <f t="shared" si="8"/>
        <v>-4.5646494481731503</v>
      </c>
    </row>
    <row r="147" spans="1:8" x14ac:dyDescent="0.2">
      <c r="A147">
        <v>292.97862243652298</v>
      </c>
      <c r="B147">
        <v>-3035.5335693359398</v>
      </c>
      <c r="C147" s="1">
        <v>-5.1634404856359999E-5</v>
      </c>
      <c r="D147" s="1">
        <v>3.6104902719417202E-7</v>
      </c>
      <c r="F147">
        <f t="shared" si="6"/>
        <v>-5.1634404856359998E-8</v>
      </c>
      <c r="G147">
        <f t="shared" si="7"/>
        <v>-241560.08624059972</v>
      </c>
      <c r="H147">
        <f t="shared" si="8"/>
        <v>-3.1324892202156507</v>
      </c>
    </row>
    <row r="148" spans="1:8" x14ac:dyDescent="0.2">
      <c r="A148">
        <v>292.97845458984398</v>
      </c>
      <c r="B148">
        <v>-3738.2232666015602</v>
      </c>
      <c r="C148" s="1">
        <v>-1.36607781347541E-5</v>
      </c>
      <c r="D148" s="1">
        <v>2.7509052526641501E-7</v>
      </c>
      <c r="F148">
        <f t="shared" si="6"/>
        <v>-1.36607781347541E-8</v>
      </c>
      <c r="G148">
        <f t="shared" si="7"/>
        <v>-297478.35563038522</v>
      </c>
      <c r="H148">
        <f t="shared" si="8"/>
        <v>-0.8287544005962143</v>
      </c>
    </row>
    <row r="149" spans="1:8" x14ac:dyDescent="0.2">
      <c r="A149">
        <v>292.97682189941401</v>
      </c>
      <c r="B149">
        <v>-4604.119140625</v>
      </c>
      <c r="C149" s="1">
        <v>2.1826274384021699E-5</v>
      </c>
      <c r="D149" s="1">
        <v>3.61488179453045E-7</v>
      </c>
      <c r="F149">
        <f t="shared" si="6"/>
        <v>2.1826274384021701E-8</v>
      </c>
      <c r="G149">
        <f t="shared" si="7"/>
        <v>-366384.15990723897</v>
      </c>
      <c r="H149">
        <f t="shared" si="8"/>
        <v>1.3241281547761563</v>
      </c>
    </row>
    <row r="150" spans="1:8" x14ac:dyDescent="0.2">
      <c r="A150">
        <v>292.979736328125</v>
      </c>
      <c r="B150">
        <v>-5668.89453125</v>
      </c>
      <c r="C150" s="1">
        <v>4.7272945718220597E-5</v>
      </c>
      <c r="D150" s="1">
        <v>2.84716963684989E-7</v>
      </c>
      <c r="F150">
        <f t="shared" si="6"/>
        <v>4.7272945718220599E-8</v>
      </c>
      <c r="G150">
        <f t="shared" si="7"/>
        <v>-451116.29325752525</v>
      </c>
      <c r="H150">
        <f t="shared" si="8"/>
        <v>2.867893864219214</v>
      </c>
    </row>
    <row r="151" spans="1:8" x14ac:dyDescent="0.2">
      <c r="A151">
        <v>292.97732543945301</v>
      </c>
      <c r="B151">
        <v>-6981.6982421875</v>
      </c>
      <c r="C151" s="1">
        <v>7.1230570561625202E-5</v>
      </c>
      <c r="D151" s="1">
        <v>3.4808181994475102E-7</v>
      </c>
      <c r="F151">
        <f t="shared" si="6"/>
        <v>7.1230570561625209E-8</v>
      </c>
      <c r="G151">
        <f t="shared" si="7"/>
        <v>-555585.89321006869</v>
      </c>
      <c r="H151">
        <f t="shared" si="8"/>
        <v>4.3213240291006789</v>
      </c>
    </row>
    <row r="152" spans="1:8" x14ac:dyDescent="0.2">
      <c r="A152">
        <v>292.97930908203102</v>
      </c>
      <c r="B152">
        <v>-8598.5234375</v>
      </c>
      <c r="C152" s="1">
        <v>9.6755055658369303E-5</v>
      </c>
      <c r="D152" s="1">
        <v>3.7130475485738801E-7</v>
      </c>
      <c r="F152">
        <f t="shared" si="6"/>
        <v>9.6755055658369298E-8</v>
      </c>
      <c r="G152">
        <f t="shared" si="7"/>
        <v>-684248.75418482046</v>
      </c>
      <c r="H152">
        <f t="shared" si="8"/>
        <v>5.8698104431405129</v>
      </c>
    </row>
    <row r="153" spans="1:8" x14ac:dyDescent="0.2">
      <c r="A153">
        <v>292.97882080078102</v>
      </c>
      <c r="B153">
        <v>-10589.302246093799</v>
      </c>
      <c r="C153">
        <v>1.2629218979037099E-4</v>
      </c>
      <c r="D153" s="1">
        <v>6.0207148744978999E-7</v>
      </c>
      <c r="F153">
        <f t="shared" si="6"/>
        <v>1.26292189790371E-7</v>
      </c>
      <c r="G153">
        <f t="shared" si="7"/>
        <v>-842669.89817996905</v>
      </c>
      <c r="H153">
        <f t="shared" si="8"/>
        <v>7.6617310534767915</v>
      </c>
    </row>
    <row r="154" spans="1:8" x14ac:dyDescent="0.2">
      <c r="A154">
        <v>292.98008728027298</v>
      </c>
      <c r="B154">
        <v>-13041.361328125</v>
      </c>
      <c r="C154">
        <v>1.6209842019222E-4</v>
      </c>
      <c r="D154" s="1">
        <v>4.9754355461124896E-7</v>
      </c>
      <c r="F154">
        <f t="shared" si="6"/>
        <v>1.6209842019222001E-7</v>
      </c>
      <c r="G154">
        <f t="shared" si="7"/>
        <v>-1037798.5600092895</v>
      </c>
      <c r="H154">
        <f t="shared" si="8"/>
        <v>9.8339770794041037</v>
      </c>
    </row>
    <row r="155" spans="1:8" x14ac:dyDescent="0.2">
      <c r="A155">
        <v>292.98019409179699</v>
      </c>
      <c r="B155">
        <v>-16060.6787109375</v>
      </c>
      <c r="C155">
        <v>2.05028353794661E-4</v>
      </c>
      <c r="D155" s="1">
        <v>5.80079743284372E-7</v>
      </c>
      <c r="F155">
        <f t="shared" si="6"/>
        <v>2.0502835379466099E-7</v>
      </c>
      <c r="G155">
        <f t="shared" si="7"/>
        <v>-1278068.2031282363</v>
      </c>
      <c r="H155">
        <f t="shared" si="8"/>
        <v>12.438394707695135</v>
      </c>
    </row>
    <row r="156" spans="1:8" x14ac:dyDescent="0.2">
      <c r="A156">
        <v>292.98005676269503</v>
      </c>
      <c r="B156">
        <v>-19779.92578125</v>
      </c>
      <c r="C156">
        <v>2.5793115651202001E-4</v>
      </c>
      <c r="D156" s="1">
        <v>7.4608030191432998E-7</v>
      </c>
      <c r="F156">
        <f t="shared" si="6"/>
        <v>2.5793115651202003E-7</v>
      </c>
      <c r="G156">
        <f t="shared" si="7"/>
        <v>-1574036.4810383786</v>
      </c>
      <c r="H156">
        <f t="shared" si="8"/>
        <v>15.647833447084622</v>
      </c>
    </row>
    <row r="157" spans="1:8" x14ac:dyDescent="0.2">
      <c r="A157">
        <v>292.97999572753901</v>
      </c>
      <c r="B157">
        <v>-24359.5380859375</v>
      </c>
      <c r="C157">
        <v>3.2204785255037898E-4</v>
      </c>
      <c r="D157" s="1">
        <v>7.4115070319434599E-7</v>
      </c>
      <c r="F157">
        <f t="shared" si="6"/>
        <v>3.2204785255037897E-7</v>
      </c>
      <c r="G157">
        <f t="shared" si="7"/>
        <v>-1938470.4489061199</v>
      </c>
      <c r="H157">
        <f t="shared" si="8"/>
        <v>19.537582147291904</v>
      </c>
    </row>
    <row r="158" spans="1:8" x14ac:dyDescent="0.2">
      <c r="A158">
        <v>292.98008728027298</v>
      </c>
      <c r="B158">
        <v>-29999.533203125</v>
      </c>
      <c r="C158">
        <v>4.0138120446389202E-4</v>
      </c>
      <c r="D158" s="1">
        <v>6.7799935117127396E-7</v>
      </c>
      <c r="F158">
        <f t="shared" si="6"/>
        <v>4.0138120446389203E-7</v>
      </c>
      <c r="G158">
        <f t="shared" si="7"/>
        <v>-2387286.9998633922</v>
      </c>
      <c r="H158">
        <f t="shared" si="8"/>
        <v>24.350475224378361</v>
      </c>
    </row>
    <row r="159" spans="1:8" x14ac:dyDescent="0.2">
      <c r="A159">
        <v>292.98098754882801</v>
      </c>
      <c r="B159">
        <v>-24359.34765625</v>
      </c>
      <c r="C159">
        <v>3.2242377562458302E-4</v>
      </c>
      <c r="D159" s="1">
        <v>6.81433238401129E-7</v>
      </c>
      <c r="F159">
        <f t="shared" si="6"/>
        <v>3.2242377562458302E-7</v>
      </c>
      <c r="G159">
        <f t="shared" si="7"/>
        <v>-1938455.2949930814</v>
      </c>
      <c r="H159">
        <f t="shared" si="8"/>
        <v>19.560388161631575</v>
      </c>
    </row>
    <row r="160" spans="1:8" x14ac:dyDescent="0.2">
      <c r="A160">
        <v>292.98089599609398</v>
      </c>
      <c r="B160">
        <v>-19779.7900390625</v>
      </c>
      <c r="C160">
        <v>2.5807891606904703E-4</v>
      </c>
      <c r="D160" s="1">
        <v>8.4521592748460199E-7</v>
      </c>
      <c r="F160">
        <f t="shared" si="6"/>
        <v>2.5807891606904703E-7</v>
      </c>
      <c r="G160">
        <f t="shared" si="7"/>
        <v>-1574025.6790183152</v>
      </c>
      <c r="H160">
        <f t="shared" si="8"/>
        <v>15.656797532578752</v>
      </c>
    </row>
    <row r="161" spans="1:8" x14ac:dyDescent="0.2">
      <c r="A161">
        <v>292.98008728027298</v>
      </c>
      <c r="B161">
        <v>-16060.852050781299</v>
      </c>
      <c r="C161">
        <v>2.04858896923687E-4</v>
      </c>
      <c r="D161" s="1">
        <v>6.1041069552599704E-7</v>
      </c>
      <c r="F161">
        <f t="shared" si="6"/>
        <v>2.0485889692368701E-7</v>
      </c>
      <c r="G161">
        <f t="shared" si="7"/>
        <v>-1278081.9970747242</v>
      </c>
      <c r="H161">
        <f t="shared" si="8"/>
        <v>12.428114317651053</v>
      </c>
    </row>
    <row r="162" spans="1:8" x14ac:dyDescent="0.2">
      <c r="A162">
        <v>292.98104858398398</v>
      </c>
      <c r="B162">
        <v>-13041.2802734375</v>
      </c>
      <c r="C162">
        <v>1.63008371271676E-4</v>
      </c>
      <c r="D162" s="1">
        <v>6.0230235149166704E-7</v>
      </c>
      <c r="F162">
        <f t="shared" si="6"/>
        <v>1.6300837127167599E-7</v>
      </c>
      <c r="G162">
        <f t="shared" si="7"/>
        <v>-1037792.1098822013</v>
      </c>
      <c r="H162">
        <f t="shared" si="8"/>
        <v>9.8891808133340078</v>
      </c>
    </row>
    <row r="163" spans="1:8" x14ac:dyDescent="0.2">
      <c r="A163">
        <v>292.98194885253901</v>
      </c>
      <c r="B163">
        <v>-10589.429199218701</v>
      </c>
      <c r="C163">
        <v>1.2648178645983799E-4</v>
      </c>
      <c r="D163" s="1">
        <v>4.3860386093088402E-7</v>
      </c>
      <c r="F163">
        <f t="shared" si="6"/>
        <v>1.2648178645983799E-7</v>
      </c>
      <c r="G163">
        <f t="shared" si="7"/>
        <v>-842680.00078865362</v>
      </c>
      <c r="H163">
        <f t="shared" si="8"/>
        <v>7.6732332587398577</v>
      </c>
    </row>
    <row r="164" spans="1:8" x14ac:dyDescent="0.2">
      <c r="A164">
        <v>292.98210144042997</v>
      </c>
      <c r="B164">
        <v>-8598.5146484375</v>
      </c>
      <c r="C164" s="1">
        <v>9.72637024954091E-5</v>
      </c>
      <c r="D164" s="1">
        <v>4.5844252073619001E-7</v>
      </c>
      <c r="F164">
        <f t="shared" si="6"/>
        <v>9.7263702495409104E-8</v>
      </c>
      <c r="G164">
        <f t="shared" si="7"/>
        <v>-684248.05477344943</v>
      </c>
      <c r="H164">
        <f t="shared" si="8"/>
        <v>5.9006683708799033</v>
      </c>
    </row>
    <row r="165" spans="1:8" x14ac:dyDescent="0.2">
      <c r="A165">
        <v>292.98176574707003</v>
      </c>
      <c r="B165">
        <v>-6981.9250488281295</v>
      </c>
      <c r="C165" s="1">
        <v>7.1922568717877703E-5</v>
      </c>
      <c r="D165" s="1">
        <v>4.8870474123110502E-7</v>
      </c>
      <c r="F165">
        <f t="shared" si="6"/>
        <v>7.1922568717877704E-8</v>
      </c>
      <c r="G165">
        <f t="shared" si="7"/>
        <v>-555603.94190905977</v>
      </c>
      <c r="H165">
        <f t="shared" si="8"/>
        <v>4.3633052772800704</v>
      </c>
    </row>
    <row r="166" spans="1:8" x14ac:dyDescent="0.2">
      <c r="A166">
        <v>292.98345947265602</v>
      </c>
      <c r="B166">
        <v>-5669.3576660156205</v>
      </c>
      <c r="C166" s="1">
        <v>4.8788482969672401E-5</v>
      </c>
      <c r="D166" s="1">
        <v>4.5419769737608802E-7</v>
      </c>
      <c r="F166">
        <f t="shared" si="6"/>
        <v>4.8788482969672401E-8</v>
      </c>
      <c r="G166">
        <f t="shared" si="7"/>
        <v>-451153.14835115831</v>
      </c>
      <c r="H166">
        <f t="shared" si="8"/>
        <v>2.9598365159494833</v>
      </c>
    </row>
    <row r="167" spans="1:8" x14ac:dyDescent="0.2">
      <c r="A167">
        <v>292.98272705078102</v>
      </c>
      <c r="B167">
        <v>-4603.3835449218795</v>
      </c>
      <c r="C167" s="1">
        <v>2.4283652482632798E-5</v>
      </c>
      <c r="D167" s="1">
        <v>3.1673777681747001E-7</v>
      </c>
      <c r="F167">
        <f t="shared" si="6"/>
        <v>2.4283652482632798E-8</v>
      </c>
      <c r="G167">
        <f t="shared" si="7"/>
        <v>-366325.62306110462</v>
      </c>
      <c r="H167">
        <f t="shared" si="8"/>
        <v>1.4732091875740998</v>
      </c>
    </row>
    <row r="168" spans="1:8" x14ac:dyDescent="0.2">
      <c r="A168">
        <v>292.98318481445301</v>
      </c>
      <c r="B168">
        <v>-3738.67724609375</v>
      </c>
      <c r="C168" s="1">
        <v>-3.5005199776832101E-6</v>
      </c>
      <c r="D168" s="1">
        <v>3.7772223682009702E-7</v>
      </c>
      <c r="F168">
        <f t="shared" si="6"/>
        <v>-3.5005199776832099E-9</v>
      </c>
      <c r="G168">
        <f t="shared" si="7"/>
        <v>-297514.48217050737</v>
      </c>
      <c r="H168">
        <f t="shared" si="8"/>
        <v>-0.21236501371026348</v>
      </c>
    </row>
    <row r="169" spans="1:8" x14ac:dyDescent="0.2">
      <c r="A169">
        <v>292.98333740234398</v>
      </c>
      <c r="B169">
        <v>-3036.0238037109398</v>
      </c>
      <c r="C169" s="1">
        <v>-3.3093152137425003E-5</v>
      </c>
      <c r="D169" s="1">
        <v>4.2482321296683E-7</v>
      </c>
      <c r="F169">
        <f t="shared" si="6"/>
        <v>-3.3093152137425E-8</v>
      </c>
      <c r="G169">
        <f t="shared" si="7"/>
        <v>-241599.09785262714</v>
      </c>
      <c r="H169">
        <f t="shared" si="8"/>
        <v>-2.0076525065374442</v>
      </c>
    </row>
    <row r="170" spans="1:8" x14ac:dyDescent="0.2">
      <c r="A170">
        <v>292.98431396484398</v>
      </c>
      <c r="B170">
        <v>-2464.7071533203102</v>
      </c>
      <c r="C170" s="1">
        <v>-5.5321110136137502E-5</v>
      </c>
      <c r="D170" s="1">
        <v>4.1090461281743101E-7</v>
      </c>
      <c r="F170">
        <f t="shared" si="6"/>
        <v>-5.5321110136137503E-8</v>
      </c>
      <c r="G170">
        <f t="shared" si="7"/>
        <v>-196135.16336244065</v>
      </c>
      <c r="H170">
        <f t="shared" si="8"/>
        <v>-3.3561494827700797</v>
      </c>
    </row>
    <row r="171" spans="1:8" x14ac:dyDescent="0.2">
      <c r="A171">
        <v>292.98458862304699</v>
      </c>
      <c r="B171">
        <v>-2001.2200317382801</v>
      </c>
      <c r="C171" s="1">
        <v>-6.8492517878940802E-5</v>
      </c>
      <c r="D171" s="1">
        <v>3.1319674976880298E-7</v>
      </c>
      <c r="F171">
        <f t="shared" si="6"/>
        <v>-6.8492517878940796E-8</v>
      </c>
      <c r="G171">
        <f t="shared" si="7"/>
        <v>-159252.03013283349</v>
      </c>
      <c r="H171">
        <f t="shared" si="8"/>
        <v>-4.1552153940393994</v>
      </c>
    </row>
    <row r="172" spans="1:8" x14ac:dyDescent="0.2">
      <c r="A172">
        <v>292.98307800292997</v>
      </c>
      <c r="B172">
        <v>-1624.55212402344</v>
      </c>
      <c r="C172" s="1">
        <v>-6.7769097574578904E-5</v>
      </c>
      <c r="D172" s="1">
        <v>3.5189435906114799E-7</v>
      </c>
      <c r="F172">
        <f t="shared" si="6"/>
        <v>-6.7769097574578908E-8</v>
      </c>
      <c r="G172">
        <f t="shared" si="7"/>
        <v>-129277.75042438415</v>
      </c>
      <c r="H172">
        <f t="shared" si="8"/>
        <v>-4.1113278676623111</v>
      </c>
    </row>
    <row r="173" spans="1:8" x14ac:dyDescent="0.2">
      <c r="A173">
        <v>292.98381042480497</v>
      </c>
      <c r="B173">
        <v>-1319.91284179688</v>
      </c>
      <c r="C173" s="1">
        <v>-5.8808426617292698E-5</v>
      </c>
      <c r="D173" s="1">
        <v>3.0210909168046898E-7</v>
      </c>
      <c r="F173">
        <f t="shared" si="6"/>
        <v>-5.88084266172927E-8</v>
      </c>
      <c r="G173">
        <f t="shared" si="7"/>
        <v>-105035.32661122215</v>
      </c>
      <c r="H173">
        <f t="shared" si="8"/>
        <v>-3.5677134838481996</v>
      </c>
    </row>
    <row r="174" spans="1:8" x14ac:dyDescent="0.2">
      <c r="A174">
        <v>292.98388671875</v>
      </c>
      <c r="B174">
        <v>-1071.91223144531</v>
      </c>
      <c r="C174" s="1">
        <v>-4.9667433316014503E-5</v>
      </c>
      <c r="D174" s="1">
        <v>3.5127524178515597E-7</v>
      </c>
      <c r="F174">
        <f t="shared" si="6"/>
        <v>-4.9667433316014506E-8</v>
      </c>
      <c r="G174">
        <f t="shared" si="7"/>
        <v>-85300.065097592422</v>
      </c>
      <c r="H174">
        <f t="shared" si="8"/>
        <v>-3.013159537541013</v>
      </c>
    </row>
    <row r="175" spans="1:8" x14ac:dyDescent="0.2">
      <c r="A175">
        <v>292.98469543457003</v>
      </c>
      <c r="B175">
        <v>-870.21762084960903</v>
      </c>
      <c r="C175" s="1">
        <v>-4.0852870520317297E-5</v>
      </c>
      <c r="D175" s="1">
        <v>3.4175609002739502E-7</v>
      </c>
      <c r="F175">
        <f t="shared" si="6"/>
        <v>-4.0852870520317298E-8</v>
      </c>
      <c r="G175">
        <f t="shared" si="7"/>
        <v>-69249.717961942035</v>
      </c>
      <c r="H175">
        <f t="shared" si="8"/>
        <v>-2.4784090545007418</v>
      </c>
    </row>
    <row r="176" spans="1:8" x14ac:dyDescent="0.2">
      <c r="A176">
        <v>292.98493957519503</v>
      </c>
      <c r="B176">
        <v>-706.70281982421898</v>
      </c>
      <c r="C176" s="1">
        <v>-3.3184711302054298E-5</v>
      </c>
      <c r="D176" s="1">
        <v>3.3698444850204001E-7</v>
      </c>
      <c r="F176">
        <f t="shared" si="6"/>
        <v>-3.3184711302054298E-8</v>
      </c>
      <c r="G176">
        <f t="shared" si="7"/>
        <v>-56237.623536002771</v>
      </c>
      <c r="H176">
        <f t="shared" si="8"/>
        <v>-2.0132070993910096</v>
      </c>
    </row>
    <row r="177" spans="1:8" x14ac:dyDescent="0.2">
      <c r="A177">
        <v>292.98507690429699</v>
      </c>
      <c r="B177">
        <v>-574.02239990234398</v>
      </c>
      <c r="C177" s="1">
        <v>-2.71805555905848E-5</v>
      </c>
      <c r="D177" s="1">
        <v>3.1273091796614898E-7</v>
      </c>
      <c r="F177">
        <f t="shared" si="6"/>
        <v>-2.71805555905848E-8</v>
      </c>
      <c r="G177">
        <f t="shared" si="7"/>
        <v>-45679.251194965371</v>
      </c>
      <c r="H177">
        <f t="shared" si="8"/>
        <v>-1.6489547545640353</v>
      </c>
    </row>
    <row r="178" spans="1:8" x14ac:dyDescent="0.2">
      <c r="A178">
        <v>292.98414611816401</v>
      </c>
      <c r="B178">
        <v>-466.32000732421898</v>
      </c>
      <c r="C178" s="1">
        <v>-2.2605666699551399E-5</v>
      </c>
      <c r="D178" s="1">
        <v>3.1875773309066398E-7</v>
      </c>
      <c r="F178">
        <f t="shared" si="6"/>
        <v>-2.2605666699551399E-8</v>
      </c>
      <c r="G178">
        <f t="shared" si="7"/>
        <v>-37108.567114149148</v>
      </c>
      <c r="H178">
        <f t="shared" si="8"/>
        <v>-1.3714113186570502</v>
      </c>
    </row>
    <row r="179" spans="1:8" x14ac:dyDescent="0.2">
      <c r="A179">
        <v>292.9853515625</v>
      </c>
      <c r="B179">
        <v>-378.52012634277298</v>
      </c>
      <c r="C179" s="1">
        <v>-1.833417106316E-5</v>
      </c>
      <c r="D179" s="1">
        <v>3.2113578961742699E-7</v>
      </c>
      <c r="F179">
        <f t="shared" si="6"/>
        <v>-1.833417106316E-8</v>
      </c>
      <c r="G179">
        <f t="shared" si="7"/>
        <v>-30121.674583610533</v>
      </c>
      <c r="H179">
        <f t="shared" si="8"/>
        <v>-1.1122737519044796</v>
      </c>
    </row>
    <row r="180" spans="1:8" x14ac:dyDescent="0.2">
      <c r="A180">
        <v>292.98522949218801</v>
      </c>
      <c r="B180">
        <v>-307.671875</v>
      </c>
      <c r="C180" s="1">
        <v>-1.50350682217745E-5</v>
      </c>
      <c r="D180" s="1">
        <v>3.9586947316161299E-7</v>
      </c>
      <c r="F180">
        <f t="shared" si="6"/>
        <v>-1.5035068221774501E-8</v>
      </c>
      <c r="G180">
        <f t="shared" si="7"/>
        <v>-24483.749878300867</v>
      </c>
      <c r="H180">
        <f t="shared" si="8"/>
        <v>-0.91212805223442772</v>
      </c>
    </row>
    <row r="181" spans="1:8" x14ac:dyDescent="0.2">
      <c r="A181">
        <v>292.98490905761702</v>
      </c>
      <c r="B181">
        <v>-249.88011932373001</v>
      </c>
      <c r="C181" s="1">
        <v>-1.30947078620879E-5</v>
      </c>
      <c r="D181" s="1">
        <v>3.4147429953868201E-7</v>
      </c>
      <c r="F181">
        <f t="shared" si="6"/>
        <v>-1.3094707862087901E-8</v>
      </c>
      <c r="G181">
        <f t="shared" si="7"/>
        <v>-19884.828085382134</v>
      </c>
      <c r="H181">
        <f t="shared" si="8"/>
        <v>-0.79441278221319556</v>
      </c>
    </row>
    <row r="182" spans="1:8" x14ac:dyDescent="0.2">
      <c r="A182">
        <v>292.98602294921898</v>
      </c>
      <c r="B182">
        <v>-203.01113891601599</v>
      </c>
      <c r="C182" s="1">
        <v>-1.06345511798962E-5</v>
      </c>
      <c r="D182" s="1">
        <v>3.4905089903420001E-7</v>
      </c>
      <c r="F182">
        <f t="shared" si="6"/>
        <v>-1.0634551179896201E-8</v>
      </c>
      <c r="G182">
        <f t="shared" si="7"/>
        <v>-16155.113130599693</v>
      </c>
      <c r="H182">
        <f t="shared" si="8"/>
        <v>-0.64516318190415323</v>
      </c>
    </row>
    <row r="183" spans="1:8" x14ac:dyDescent="0.2">
      <c r="A183">
        <v>292.98509216308599</v>
      </c>
      <c r="B183">
        <v>-164.894905090332</v>
      </c>
      <c r="C183" s="1">
        <v>-8.8336383470986606E-6</v>
      </c>
      <c r="D183" s="1">
        <v>3.0399804175587299E-7</v>
      </c>
      <c r="F183">
        <f t="shared" si="6"/>
        <v>-8.8336383470986603E-9</v>
      </c>
      <c r="G183">
        <f t="shared" si="7"/>
        <v>-13121.919617897636</v>
      </c>
      <c r="H183">
        <f t="shared" si="8"/>
        <v>-0.53590773389463753</v>
      </c>
    </row>
    <row r="184" spans="1:8" x14ac:dyDescent="0.2">
      <c r="A184">
        <v>292.98471069335898</v>
      </c>
      <c r="B184">
        <v>-133.99697875976599</v>
      </c>
      <c r="C184" s="1">
        <v>-7.5364215026018498E-6</v>
      </c>
      <c r="D184" s="1">
        <v>3.3506906472934401E-7</v>
      </c>
      <c r="F184">
        <f t="shared" si="6"/>
        <v>-7.5364215026018494E-9</v>
      </c>
      <c r="G184">
        <f t="shared" si="7"/>
        <v>-10663.140764498234</v>
      </c>
      <c r="H184">
        <f t="shared" si="8"/>
        <v>-0.45720986194331775</v>
      </c>
    </row>
    <row r="185" spans="1:8" x14ac:dyDescent="0.2">
      <c r="A185">
        <v>292.986572265625</v>
      </c>
      <c r="B185">
        <v>-108.76471710205099</v>
      </c>
      <c r="C185" s="1">
        <v>-6.2362049028620999E-6</v>
      </c>
      <c r="D185" s="1">
        <v>3.0272087587508202E-7</v>
      </c>
      <c r="F185">
        <f t="shared" si="6"/>
        <v>-6.2362049028620999E-9</v>
      </c>
      <c r="G185">
        <f t="shared" si="7"/>
        <v>-8655.2211803915106</v>
      </c>
      <c r="H185">
        <f t="shared" si="8"/>
        <v>-0.37833000472485045</v>
      </c>
    </row>
    <row r="186" spans="1:8" x14ac:dyDescent="0.2">
      <c r="A186">
        <v>292.98738098144503</v>
      </c>
      <c r="B186">
        <v>-88.444538116455107</v>
      </c>
      <c r="C186" s="1">
        <v>-4.7239291130486204E-6</v>
      </c>
      <c r="D186" s="1">
        <v>3.3957689766603201E-7</v>
      </c>
      <c r="F186">
        <f t="shared" si="6"/>
        <v>-4.7239291130486207E-9</v>
      </c>
      <c r="G186">
        <f t="shared" si="7"/>
        <v>-7038.1927153566903</v>
      </c>
      <c r="H186">
        <f t="shared" si="8"/>
        <v>-0.28658521512647983</v>
      </c>
    </row>
    <row r="187" spans="1:8" x14ac:dyDescent="0.2">
      <c r="A187">
        <v>292.98696899414102</v>
      </c>
      <c r="B187">
        <v>-72.192028045654297</v>
      </c>
      <c r="C187" s="1">
        <v>-4.8144237248316196E-6</v>
      </c>
      <c r="D187" s="1">
        <v>3.1495567007608598E-7</v>
      </c>
      <c r="F187">
        <f t="shared" si="6"/>
        <v>-4.8144237248316199E-9</v>
      </c>
      <c r="G187">
        <f t="shared" si="7"/>
        <v>-5744.8590576473107</v>
      </c>
      <c r="H187">
        <f t="shared" si="8"/>
        <v>-0.2920752250662948</v>
      </c>
    </row>
    <row r="188" spans="1:8" x14ac:dyDescent="0.2">
      <c r="A188">
        <v>292.98590087890602</v>
      </c>
      <c r="B188">
        <v>-58.690639495849602</v>
      </c>
      <c r="C188" s="1">
        <v>-3.5797621453105801E-6</v>
      </c>
      <c r="D188" s="1">
        <v>2.8776686415797402E-7</v>
      </c>
      <c r="F188">
        <f t="shared" si="6"/>
        <v>-3.5797621453105803E-9</v>
      </c>
      <c r="G188">
        <f t="shared" si="7"/>
        <v>-4670.4526944944446</v>
      </c>
      <c r="H188">
        <f t="shared" si="8"/>
        <v>-0.21717237493713901</v>
      </c>
    </row>
    <row r="189" spans="1:8" x14ac:dyDescent="0.2">
      <c r="A189">
        <v>292.98648071289102</v>
      </c>
      <c r="B189">
        <v>-47.540870666503899</v>
      </c>
      <c r="C189" s="1">
        <v>-3.2907135484073501E-6</v>
      </c>
      <c r="D189" s="1">
        <v>2.7161041103026802E-7</v>
      </c>
      <c r="F189">
        <f t="shared" si="6"/>
        <v>-3.2907135484073502E-9</v>
      </c>
      <c r="G189">
        <f t="shared" si="7"/>
        <v>-3783.1822827332921</v>
      </c>
      <c r="H189">
        <f t="shared" si="8"/>
        <v>-0.19963674890568489</v>
      </c>
    </row>
    <row r="190" spans="1:8" x14ac:dyDescent="0.2">
      <c r="A190">
        <v>292.98611450195301</v>
      </c>
      <c r="B190">
        <v>-38.670085906982401</v>
      </c>
      <c r="C190" s="1">
        <v>-2.6459497645831098E-6</v>
      </c>
      <c r="D190" s="1">
        <v>2.8553161767752199E-7</v>
      </c>
      <c r="F190">
        <f t="shared" si="6"/>
        <v>-2.6459497645831097E-9</v>
      </c>
      <c r="G190">
        <f t="shared" si="7"/>
        <v>-3077.2676609422438</v>
      </c>
      <c r="H190">
        <f t="shared" si="8"/>
        <v>-0.16052105447609932</v>
      </c>
    </row>
    <row r="191" spans="1:8" x14ac:dyDescent="0.2">
      <c r="A191">
        <v>292.98513793945301</v>
      </c>
      <c r="B191">
        <v>-31.451789855956999</v>
      </c>
      <c r="C191" s="1">
        <v>-2.3705432423391401E-6</v>
      </c>
      <c r="D191" s="1">
        <v>3.51616631761236E-7</v>
      </c>
      <c r="F191">
        <f t="shared" si="6"/>
        <v>-2.3705432423391401E-9</v>
      </c>
      <c r="G191">
        <f t="shared" si="7"/>
        <v>-2502.8539123315436</v>
      </c>
      <c r="H191">
        <f t="shared" si="8"/>
        <v>-0.14381304816700649</v>
      </c>
    </row>
    <row r="192" spans="1:8" x14ac:dyDescent="0.2">
      <c r="A192">
        <v>292.98516845703102</v>
      </c>
      <c r="B192">
        <v>-25.6045179367065</v>
      </c>
      <c r="C192" s="1">
        <v>-1.8488933115981399E-6</v>
      </c>
      <c r="D192" s="1">
        <v>2.78820647215341E-7</v>
      </c>
      <c r="F192">
        <f t="shared" si="6"/>
        <v>-1.8488933115981399E-9</v>
      </c>
      <c r="G192">
        <f t="shared" si="7"/>
        <v>-2037.5427975559683</v>
      </c>
      <c r="H192">
        <f t="shared" si="8"/>
        <v>-0.11216626557469873</v>
      </c>
    </row>
    <row r="193" spans="1:8" x14ac:dyDescent="0.2">
      <c r="A193">
        <v>292.98736572265602</v>
      </c>
      <c r="B193">
        <v>-20.855877876281699</v>
      </c>
      <c r="C193" s="1">
        <v>-2.1514633499503799E-6</v>
      </c>
      <c r="D193" s="1">
        <v>2.6101098809522103E-7</v>
      </c>
      <c r="F193">
        <f t="shared" si="6"/>
        <v>-2.1514633499503797E-9</v>
      </c>
      <c r="G193">
        <f t="shared" si="7"/>
        <v>-1659.6580282655664</v>
      </c>
      <c r="H193">
        <f t="shared" si="8"/>
        <v>-0.13052219290910441</v>
      </c>
    </row>
    <row r="194" spans="1:8" x14ac:dyDescent="0.2">
      <c r="A194">
        <v>292.98663330078102</v>
      </c>
      <c r="B194">
        <v>-17.051519393920898</v>
      </c>
      <c r="C194" s="1">
        <v>-1.7227991054224099E-6</v>
      </c>
      <c r="D194" s="1">
        <v>2.9982478178639103E-7</v>
      </c>
      <c r="F194">
        <f t="shared" si="6"/>
        <v>-1.7227991054224098E-9</v>
      </c>
      <c r="G194">
        <f t="shared" si="7"/>
        <v>-1356.9167993849151</v>
      </c>
      <c r="H194">
        <f t="shared" si="8"/>
        <v>-0.10451654553481583</v>
      </c>
    </row>
    <row r="195" spans="1:8" x14ac:dyDescent="0.2">
      <c r="A195">
        <v>292.986083984375</v>
      </c>
      <c r="B195">
        <v>-14.254997253418001</v>
      </c>
      <c r="C195" s="1">
        <v>-1.3678321310391899E-6</v>
      </c>
      <c r="D195" s="1">
        <v>3.4594303876552699E-7</v>
      </c>
      <c r="F195">
        <f t="shared" si="6"/>
        <v>-1.3678321310391899E-9</v>
      </c>
      <c r="G195">
        <f t="shared" si="7"/>
        <v>-1134.3766383214331</v>
      </c>
      <c r="H195">
        <f t="shared" si="8"/>
        <v>-8.2981868726179367E-2</v>
      </c>
    </row>
    <row r="196" spans="1:8" x14ac:dyDescent="0.2">
      <c r="A196">
        <v>292.98744201660202</v>
      </c>
      <c r="B196">
        <v>-11.3132019042969</v>
      </c>
      <c r="C196" s="1">
        <v>-1.1171611081928201E-6</v>
      </c>
      <c r="D196" s="1">
        <v>2.9045497327369598E-7</v>
      </c>
      <c r="F196">
        <f t="shared" si="6"/>
        <v>-1.1171611081928201E-9</v>
      </c>
      <c r="G196">
        <f t="shared" si="7"/>
        <v>-900.27600263274758</v>
      </c>
      <c r="H196">
        <f t="shared" si="8"/>
        <v>-6.7774483668269367E-2</v>
      </c>
    </row>
    <row r="197" spans="1:8" x14ac:dyDescent="0.2">
      <c r="A197">
        <v>292.98826599121099</v>
      </c>
      <c r="B197">
        <v>-9.3974027633666992</v>
      </c>
      <c r="C197" s="1">
        <v>-1.5309786981826401E-6</v>
      </c>
      <c r="D197" s="1">
        <v>2.9171412130385198E-7</v>
      </c>
      <c r="F197">
        <f t="shared" si="6"/>
        <v>-1.53097869818264E-9</v>
      </c>
      <c r="G197">
        <f t="shared" si="7"/>
        <v>-747.8215510076235</v>
      </c>
      <c r="H197">
        <f t="shared" si="8"/>
        <v>-9.2879433427733166E-2</v>
      </c>
    </row>
    <row r="198" spans="1:8" x14ac:dyDescent="0.2">
      <c r="A198">
        <v>292.98648071289102</v>
      </c>
      <c r="B198">
        <v>-7.7721517086029097</v>
      </c>
      <c r="C198" s="1">
        <v>-1.2554627779320899E-6</v>
      </c>
      <c r="D198" s="1">
        <v>3.23105878395061E-7</v>
      </c>
      <c r="F198">
        <f t="shared" si="6"/>
        <v>-1.2554627779320899E-9</v>
      </c>
      <c r="G198">
        <f t="shared" si="7"/>
        <v>-618.48818144213658</v>
      </c>
      <c r="H198">
        <f t="shared" si="8"/>
        <v>-7.6164790302020099E-2</v>
      </c>
    </row>
    <row r="199" spans="1:8" x14ac:dyDescent="0.2">
      <c r="A199">
        <v>292.98785400390602</v>
      </c>
      <c r="B199">
        <v>-6.3557312488555899</v>
      </c>
      <c r="C199" s="1">
        <v>-8.8279046283574598E-7</v>
      </c>
      <c r="D199" s="1">
        <v>3.2668587802212302E-7</v>
      </c>
      <c r="F199">
        <f t="shared" si="6"/>
        <v>-8.8279046283574594E-10</v>
      </c>
      <c r="G199">
        <f t="shared" si="7"/>
        <v>-505.77302260949614</v>
      </c>
      <c r="H199">
        <f t="shared" si="8"/>
        <v>-5.355598880697747E-2</v>
      </c>
    </row>
    <row r="200" spans="1:8" x14ac:dyDescent="0.2">
      <c r="A200">
        <v>292.98677062988298</v>
      </c>
      <c r="B200">
        <v>-5.3206551074981698</v>
      </c>
      <c r="C200" s="1">
        <v>-6.4578491796626104E-7</v>
      </c>
      <c r="D200" s="1">
        <v>2.6873804449048201E-7</v>
      </c>
      <c r="F200">
        <f t="shared" si="6"/>
        <v>-6.4578491796626109E-10</v>
      </c>
      <c r="G200">
        <f t="shared" si="7"/>
        <v>-423.40428042273675</v>
      </c>
      <c r="H200">
        <f t="shared" si="8"/>
        <v>-3.9177643273600966E-2</v>
      </c>
    </row>
    <row r="201" spans="1:8" x14ac:dyDescent="0.2">
      <c r="A201">
        <v>292.98611450195301</v>
      </c>
      <c r="B201">
        <v>-4.1675438880920401</v>
      </c>
      <c r="C201" s="1">
        <v>-9.9596188992927498E-7</v>
      </c>
      <c r="D201" s="1">
        <v>3.3189843542967699E-7</v>
      </c>
      <c r="F201">
        <f t="shared" ref="F201:F257" si="9">C201/1000</f>
        <v>-9.959618899292749E-10</v>
      </c>
      <c r="G201">
        <f t="shared" ref="G201:G257" si="10">(B201*1000)/(4*PI())</f>
        <v>-331.64260517113246</v>
      </c>
      <c r="H201">
        <f t="shared" ref="H201:H257" si="11">F201/$G$4</f>
        <v>-6.0421726417260686E-2</v>
      </c>
    </row>
    <row r="202" spans="1:8" x14ac:dyDescent="0.2">
      <c r="A202">
        <v>292.98786926269503</v>
      </c>
      <c r="B202">
        <v>-3.6954038143157999</v>
      </c>
      <c r="C202" s="1">
        <v>-1.67535974021116E-6</v>
      </c>
      <c r="D202" s="1">
        <v>3.6960629203885698E-7</v>
      </c>
      <c r="F202">
        <f t="shared" si="9"/>
        <v>-1.67535974021116E-9</v>
      </c>
      <c r="G202">
        <f t="shared" si="10"/>
        <v>-294.07089188450209</v>
      </c>
      <c r="H202">
        <f t="shared" si="11"/>
        <v>-0.10163855554826504</v>
      </c>
    </row>
    <row r="203" spans="1:8" x14ac:dyDescent="0.2">
      <c r="A203">
        <v>292.98719787597702</v>
      </c>
      <c r="B203">
        <v>-3.2777413129806501</v>
      </c>
      <c r="C203" s="1">
        <v>-9.3628484277058505E-7</v>
      </c>
      <c r="D203" s="1">
        <v>3.48193255525738E-7</v>
      </c>
      <c r="F203">
        <f t="shared" si="9"/>
        <v>-9.3628484277058506E-10</v>
      </c>
      <c r="G203">
        <f t="shared" si="10"/>
        <v>-260.83436606869486</v>
      </c>
      <c r="H203">
        <f t="shared" si="11"/>
        <v>-5.6801316587052848E-2</v>
      </c>
    </row>
    <row r="204" spans="1:8" x14ac:dyDescent="0.2">
      <c r="A204">
        <v>292.98735046386702</v>
      </c>
      <c r="B204">
        <v>-2.4787353277206399</v>
      </c>
      <c r="C204" s="1">
        <v>-6.4098491840337997E-7</v>
      </c>
      <c r="D204" s="1">
        <v>3.89600817149123E-7</v>
      </c>
      <c r="F204">
        <f t="shared" si="9"/>
        <v>-6.4098491840338E-10</v>
      </c>
      <c r="G204">
        <f t="shared" si="10"/>
        <v>-197.2514900116245</v>
      </c>
      <c r="H204">
        <f t="shared" si="11"/>
        <v>-3.8886443114916208E-2</v>
      </c>
    </row>
    <row r="205" spans="1:8" x14ac:dyDescent="0.2">
      <c r="A205">
        <v>292.98609924316401</v>
      </c>
      <c r="B205">
        <v>-2.2335855960845898</v>
      </c>
      <c r="C205" s="1">
        <v>-1.0430257358978499E-6</v>
      </c>
      <c r="D205" s="1">
        <v>2.7420399908635698E-7</v>
      </c>
      <c r="F205">
        <f t="shared" si="9"/>
        <v>-1.04302573589785E-9</v>
      </c>
      <c r="G205">
        <f t="shared" si="10"/>
        <v>-177.74309421786</v>
      </c>
      <c r="H205">
        <f t="shared" si="11"/>
        <v>-6.3276934888600159E-2</v>
      </c>
    </row>
    <row r="206" spans="1:8" x14ac:dyDescent="0.2">
      <c r="A206">
        <v>292.98788452148398</v>
      </c>
      <c r="B206">
        <v>-1.8522417545318599</v>
      </c>
      <c r="C206" s="1">
        <v>-9.9243378579276701E-7</v>
      </c>
      <c r="D206" s="1">
        <v>3.0178325863695401E-7</v>
      </c>
      <c r="F206">
        <f t="shared" si="9"/>
        <v>-9.9243378579276707E-10</v>
      </c>
      <c r="G206">
        <f t="shared" si="10"/>
        <v>-147.39671551747526</v>
      </c>
      <c r="H206">
        <f t="shared" si="11"/>
        <v>-6.0207687963517421E-2</v>
      </c>
    </row>
    <row r="207" spans="1:8" x14ac:dyDescent="0.2">
      <c r="A207">
        <v>292.98628234863298</v>
      </c>
      <c r="B207">
        <v>-1.77052509784698</v>
      </c>
      <c r="C207" s="1">
        <v>-6.2070881672115501E-7</v>
      </c>
      <c r="D207" s="1">
        <v>2.8508430822318902E-7</v>
      </c>
      <c r="F207">
        <f t="shared" si="9"/>
        <v>-6.2070881672115504E-10</v>
      </c>
      <c r="G207">
        <f t="shared" si="10"/>
        <v>-140.89391059530428</v>
      </c>
      <c r="H207">
        <f t="shared" si="11"/>
        <v>-3.7656358830527627E-2</v>
      </c>
    </row>
    <row r="208" spans="1:8" x14ac:dyDescent="0.2">
      <c r="A208">
        <v>292.98692321777298</v>
      </c>
      <c r="B208">
        <v>0.61741387844085704</v>
      </c>
      <c r="C208" s="1">
        <v>-4.6676285113035699E-7</v>
      </c>
      <c r="D208" s="1">
        <v>2.8323621496608398E-7</v>
      </c>
      <c r="F208">
        <f t="shared" si="9"/>
        <v>-4.6676285113035702E-10</v>
      </c>
      <c r="G208">
        <f t="shared" si="10"/>
        <v>49.132235343700494</v>
      </c>
      <c r="H208">
        <f t="shared" si="11"/>
        <v>-2.831696431149763E-2</v>
      </c>
    </row>
    <row r="209" spans="1:8" x14ac:dyDescent="0.2">
      <c r="A209">
        <v>292.98764038085898</v>
      </c>
      <c r="B209">
        <v>1.1167927980423</v>
      </c>
      <c r="C209" s="1">
        <v>-7.8256156703813401E-7</v>
      </c>
      <c r="D209" s="1">
        <v>3.6700036269177999E-7</v>
      </c>
      <c r="F209">
        <f t="shared" si="9"/>
        <v>-7.8256156703813402E-10</v>
      </c>
      <c r="G209">
        <f t="shared" si="10"/>
        <v>88.871547108930415</v>
      </c>
      <c r="H209">
        <f t="shared" si="11"/>
        <v>-4.7475431928021505E-2</v>
      </c>
    </row>
    <row r="210" spans="1:8" x14ac:dyDescent="0.2">
      <c r="A210">
        <v>292.98783874511702</v>
      </c>
      <c r="B210">
        <v>1.08047431707382</v>
      </c>
      <c r="C210" s="1">
        <v>-3.9051321555531198E-7</v>
      </c>
      <c r="D210" s="1">
        <v>3.3665358946955799E-7</v>
      </c>
      <c r="F210">
        <f t="shared" si="9"/>
        <v>-3.9051321555531197E-10</v>
      </c>
      <c r="G210">
        <f t="shared" si="10"/>
        <v>85.981414223069152</v>
      </c>
      <c r="H210">
        <f t="shared" si="11"/>
        <v>-2.3691150144593755E-2</v>
      </c>
    </row>
    <row r="211" spans="1:8" x14ac:dyDescent="0.2">
      <c r="A211">
        <v>292.98815917968699</v>
      </c>
      <c r="B211">
        <v>1.57077360153198</v>
      </c>
      <c r="C211" s="1">
        <v>-8.0218581718699695E-7</v>
      </c>
      <c r="D211" s="1">
        <v>3.0983936955348602E-7</v>
      </c>
      <c r="F211">
        <f t="shared" si="9"/>
        <v>-8.0218581718699695E-10</v>
      </c>
      <c r="G211">
        <f t="shared" si="10"/>
        <v>124.99819158103688</v>
      </c>
      <c r="H211">
        <f t="shared" si="11"/>
        <v>-4.8665970527568408E-2</v>
      </c>
    </row>
    <row r="212" spans="1:8" x14ac:dyDescent="0.2">
      <c r="A212">
        <v>292.987060546875</v>
      </c>
      <c r="B212">
        <v>2.0610728263854998</v>
      </c>
      <c r="C212" s="1">
        <v>-4.3845592462104599E-7</v>
      </c>
      <c r="D212" s="1">
        <v>2.7588251592786802E-7</v>
      </c>
      <c r="F212">
        <f t="shared" si="9"/>
        <v>-4.3845592462104602E-10</v>
      </c>
      <c r="G212">
        <f t="shared" si="10"/>
        <v>164.01496419581807</v>
      </c>
      <c r="H212">
        <f t="shared" si="11"/>
        <v>-2.6599676344404282E-2</v>
      </c>
    </row>
    <row r="213" spans="1:8" x14ac:dyDescent="0.2">
      <c r="A213">
        <v>292.98638916015602</v>
      </c>
      <c r="B213">
        <v>2.7692829370498702</v>
      </c>
      <c r="C213" s="1">
        <v>-1.69844036428185E-7</v>
      </c>
      <c r="D213" s="1">
        <v>2.78484913786478E-7</v>
      </c>
      <c r="F213">
        <f t="shared" si="9"/>
        <v>-1.6984403642818499E-10</v>
      </c>
      <c r="G213">
        <f t="shared" si="10"/>
        <v>220.37253412576445</v>
      </c>
      <c r="H213">
        <f t="shared" si="11"/>
        <v>-1.0303878096576359E-2</v>
      </c>
    </row>
    <row r="214" spans="1:8" x14ac:dyDescent="0.2">
      <c r="A214">
        <v>292.98648071289102</v>
      </c>
      <c r="B214">
        <v>3.2323431968689</v>
      </c>
      <c r="C214" s="1">
        <v>-5.9456940257095999E-7</v>
      </c>
      <c r="D214" s="1">
        <v>3.2384347417160599E-7</v>
      </c>
      <c r="F214">
        <f t="shared" si="9"/>
        <v>-5.9456940257096002E-10</v>
      </c>
      <c r="G214">
        <f t="shared" si="10"/>
        <v>257.22169877557241</v>
      </c>
      <c r="H214">
        <f t="shared" si="11"/>
        <v>-3.6070566696851998E-2</v>
      </c>
    </row>
    <row r="215" spans="1:8" x14ac:dyDescent="0.2">
      <c r="A215">
        <v>292.98701477050798</v>
      </c>
      <c r="B215">
        <v>4.6306042671203604</v>
      </c>
      <c r="C215" s="1">
        <v>-4.2597312130768799E-7</v>
      </c>
      <c r="D215" s="1">
        <v>3.4826475082184102E-7</v>
      </c>
      <c r="F215">
        <f t="shared" si="9"/>
        <v>-4.2597312130768799E-10</v>
      </c>
      <c r="G215">
        <f t="shared" si="10"/>
        <v>368.49177930731435</v>
      </c>
      <c r="H215">
        <f t="shared" si="11"/>
        <v>-2.584238579509044E-2</v>
      </c>
    </row>
    <row r="216" spans="1:8" x14ac:dyDescent="0.2">
      <c r="A216">
        <v>292.98773193359398</v>
      </c>
      <c r="B216">
        <v>5.7383174896240199</v>
      </c>
      <c r="C216" s="1">
        <v>-1.09292344926807E-6</v>
      </c>
      <c r="D216" s="1">
        <v>3.3533652045954202E-7</v>
      </c>
      <c r="F216">
        <f t="shared" si="9"/>
        <v>-1.0929234492680701E-9</v>
      </c>
      <c r="G216">
        <f t="shared" si="10"/>
        <v>456.64079675216931</v>
      </c>
      <c r="H216">
        <f t="shared" si="11"/>
        <v>-6.6304064758314782E-2</v>
      </c>
    </row>
    <row r="217" spans="1:8" x14ac:dyDescent="0.2">
      <c r="A217">
        <v>292.98788452148398</v>
      </c>
      <c r="B217">
        <v>6.9186675548553502</v>
      </c>
      <c r="C217" s="1">
        <v>-8.6700536359749598E-7</v>
      </c>
      <c r="D217" s="1">
        <v>3.1011934478454799E-7</v>
      </c>
      <c r="F217">
        <f t="shared" si="9"/>
        <v>-8.6700536359749596E-10</v>
      </c>
      <c r="G217">
        <f t="shared" si="10"/>
        <v>550.57007048237301</v>
      </c>
      <c r="H217">
        <f t="shared" si="11"/>
        <v>-5.2598358844137653E-2</v>
      </c>
    </row>
    <row r="218" spans="1:8" x14ac:dyDescent="0.2">
      <c r="A218">
        <v>292.98774719238298</v>
      </c>
      <c r="B218">
        <v>8.7890682220459002</v>
      </c>
      <c r="C218" s="1">
        <v>-2.3135026997646899E-7</v>
      </c>
      <c r="D218" s="1">
        <v>3.3477496478388302E-7</v>
      </c>
      <c r="F218">
        <f t="shared" si="9"/>
        <v>-2.3135026997646898E-10</v>
      </c>
      <c r="G218">
        <f t="shared" si="10"/>
        <v>699.41182635525047</v>
      </c>
      <c r="H218">
        <f t="shared" si="11"/>
        <v>-1.4035258638330279E-2</v>
      </c>
    </row>
    <row r="219" spans="1:8" x14ac:dyDescent="0.2">
      <c r="A219">
        <v>292.98774719238298</v>
      </c>
      <c r="B219">
        <v>10.723026752471901</v>
      </c>
      <c r="C219" s="1">
        <v>1.05901381079875E-7</v>
      </c>
      <c r="D219" s="1">
        <v>3.24279062712273E-7</v>
      </c>
      <c r="F219">
        <f t="shared" si="9"/>
        <v>1.0590138107987501E-10</v>
      </c>
      <c r="G219">
        <f t="shared" si="10"/>
        <v>853.31135628126833</v>
      </c>
      <c r="H219">
        <f t="shared" si="11"/>
        <v>6.4246878716139044E-3</v>
      </c>
    </row>
    <row r="220" spans="1:8" x14ac:dyDescent="0.2">
      <c r="A220">
        <v>292.98910522460898</v>
      </c>
      <c r="B220">
        <v>13.347035884857201</v>
      </c>
      <c r="C220" s="1">
        <v>5.1980898808110296E-7</v>
      </c>
      <c r="D220" s="1">
        <v>3.0937349103341601E-7</v>
      </c>
      <c r="F220">
        <f t="shared" si="9"/>
        <v>5.1980898808110294E-10</v>
      </c>
      <c r="G220">
        <f t="shared" si="10"/>
        <v>1062.1233683499665</v>
      </c>
      <c r="H220">
        <f t="shared" si="11"/>
        <v>3.1535098666576333E-2</v>
      </c>
    </row>
    <row r="221" spans="1:8" x14ac:dyDescent="0.2">
      <c r="A221">
        <v>292.987548828125</v>
      </c>
      <c r="B221">
        <v>16.434105873107899</v>
      </c>
      <c r="C221" s="1">
        <v>-5.43219187440547E-8</v>
      </c>
      <c r="D221" s="1">
        <v>3.9515937580038802E-7</v>
      </c>
      <c r="F221">
        <f t="shared" si="9"/>
        <v>-5.4321918744054701E-11</v>
      </c>
      <c r="G221">
        <f t="shared" si="10"/>
        <v>1307.7845925003353</v>
      </c>
      <c r="H221">
        <f t="shared" si="11"/>
        <v>-3.2955318330975649E-3</v>
      </c>
    </row>
    <row r="222" spans="1:8" x14ac:dyDescent="0.2">
      <c r="A222">
        <v>292.98805236816401</v>
      </c>
      <c r="B222">
        <v>20.465455055236799</v>
      </c>
      <c r="C222" s="1">
        <v>6.4508857541450397E-7</v>
      </c>
      <c r="D222" s="1">
        <v>3.7344763310734702E-7</v>
      </c>
      <c r="F222">
        <f t="shared" si="9"/>
        <v>6.4508857541450398E-10</v>
      </c>
      <c r="G222">
        <f t="shared" si="10"/>
        <v>1628.5891673329772</v>
      </c>
      <c r="H222">
        <f t="shared" si="11"/>
        <v>3.9135398465259999E-2</v>
      </c>
    </row>
    <row r="223" spans="1:8" x14ac:dyDescent="0.2">
      <c r="A223">
        <v>292.98915100097702</v>
      </c>
      <c r="B223">
        <v>25.177775382995598</v>
      </c>
      <c r="C223" s="1">
        <v>7.0584944067194495E-7</v>
      </c>
      <c r="D223" s="1">
        <v>3.54026290659799E-7</v>
      </c>
      <c r="F223">
        <f t="shared" si="9"/>
        <v>7.0584944067194496E-10</v>
      </c>
      <c r="G223">
        <f t="shared" si="10"/>
        <v>2003.583704130594</v>
      </c>
      <c r="H223">
        <f t="shared" si="11"/>
        <v>4.2821559968610139E-2</v>
      </c>
    </row>
    <row r="224" spans="1:8" x14ac:dyDescent="0.2">
      <c r="A224">
        <v>292.98849487304699</v>
      </c>
      <c r="B224">
        <v>31.0522861480713</v>
      </c>
      <c r="C224" s="1">
        <v>1.4124268417301499E-6</v>
      </c>
      <c r="D224" s="1">
        <v>3.8869120493751898E-7</v>
      </c>
      <c r="F224">
        <f t="shared" si="9"/>
        <v>1.4124268417301498E-9</v>
      </c>
      <c r="G224">
        <f t="shared" si="10"/>
        <v>2471.0624173847691</v>
      </c>
      <c r="H224">
        <f t="shared" si="11"/>
        <v>8.5687282895407682E-2</v>
      </c>
    </row>
    <row r="225" spans="1:8" x14ac:dyDescent="0.2">
      <c r="A225">
        <v>292.98902893066401</v>
      </c>
      <c r="B225">
        <v>38.1162300109863</v>
      </c>
      <c r="C225" s="1">
        <v>8.0305510523517803E-7</v>
      </c>
      <c r="D225" s="1">
        <v>2.4767344181774698E-7</v>
      </c>
      <c r="F225">
        <f t="shared" si="9"/>
        <v>8.0305510523517802E-10</v>
      </c>
      <c r="G225">
        <f t="shared" si="10"/>
        <v>3033.193209138059</v>
      </c>
      <c r="H225">
        <f t="shared" si="11"/>
        <v>4.8718707369365358E-2</v>
      </c>
    </row>
    <row r="226" spans="1:8" x14ac:dyDescent="0.2">
      <c r="A226">
        <v>292.98774719238298</v>
      </c>
      <c r="B226">
        <v>47.0778102874756</v>
      </c>
      <c r="C226" s="1">
        <v>6.9397146591943296E-7</v>
      </c>
      <c r="D226" s="1">
        <v>3.0123211848009897E-7</v>
      </c>
      <c r="F226">
        <f t="shared" si="9"/>
        <v>6.9397146591943301E-10</v>
      </c>
      <c r="G226">
        <f t="shared" si="10"/>
        <v>3746.3331085971122</v>
      </c>
      <c r="H226">
        <f t="shared" si="11"/>
        <v>4.2100962375324347E-2</v>
      </c>
    </row>
    <row r="227" spans="1:8" x14ac:dyDescent="0.2">
      <c r="A227">
        <v>292.98687744140602</v>
      </c>
      <c r="B227">
        <v>57.964271545410199</v>
      </c>
      <c r="C227" s="1">
        <v>2.1227948302719199E-6</v>
      </c>
      <c r="D227" s="1">
        <v>3.2428737992383398E-7</v>
      </c>
      <c r="F227">
        <f t="shared" si="9"/>
        <v>2.12279483027192E-9</v>
      </c>
      <c r="G227">
        <f t="shared" si="10"/>
        <v>4612.6501695864645</v>
      </c>
      <c r="H227">
        <f t="shared" si="11"/>
        <v>0.12878296827579766</v>
      </c>
    </row>
    <row r="228" spans="1:8" x14ac:dyDescent="0.2">
      <c r="A228">
        <v>292.98815917968699</v>
      </c>
      <c r="B228">
        <v>71.393020629882798</v>
      </c>
      <c r="C228" s="1">
        <v>2.5425926044580999E-6</v>
      </c>
      <c r="D228" s="1">
        <v>2.9080810823651999E-7</v>
      </c>
      <c r="F228">
        <f t="shared" si="9"/>
        <v>2.5425926044580998E-9</v>
      </c>
      <c r="G228">
        <f t="shared" si="10"/>
        <v>5681.2760677537535</v>
      </c>
      <c r="H228">
        <f t="shared" si="11"/>
        <v>0.15425071610724686</v>
      </c>
    </row>
    <row r="229" spans="1:8" x14ac:dyDescent="0.2">
      <c r="A229">
        <v>292.98966979980497</v>
      </c>
      <c r="B229">
        <v>88.035957336425795</v>
      </c>
      <c r="C229" s="1">
        <v>3.2549376564388598E-6</v>
      </c>
      <c r="D229" s="1">
        <v>3.11772039209234E-7</v>
      </c>
      <c r="F229">
        <f t="shared" si="9"/>
        <v>3.2549376564388599E-9</v>
      </c>
      <c r="G229">
        <f t="shared" si="10"/>
        <v>7005.6788899596868</v>
      </c>
      <c r="H229">
        <f t="shared" si="11"/>
        <v>0.19746634341255193</v>
      </c>
    </row>
    <row r="230" spans="1:8" x14ac:dyDescent="0.2">
      <c r="A230">
        <v>292.98840332031301</v>
      </c>
      <c r="B230">
        <v>108.64668655395501</v>
      </c>
      <c r="C230" s="1">
        <v>4.8793889365905801E-6</v>
      </c>
      <c r="D230" s="1">
        <v>2.6759142326499903E-7</v>
      </c>
      <c r="F230">
        <f t="shared" si="9"/>
        <v>4.8793889365905802E-9</v>
      </c>
      <c r="G230">
        <f t="shared" si="10"/>
        <v>8645.8286078088495</v>
      </c>
      <c r="H230">
        <f t="shared" si="11"/>
        <v>0.29601645041962438</v>
      </c>
    </row>
    <row r="231" spans="1:8" x14ac:dyDescent="0.2">
      <c r="A231">
        <v>292.98893737792997</v>
      </c>
      <c r="B231">
        <v>133.59747314453099</v>
      </c>
      <c r="C231" s="1">
        <v>5.2003268532042797E-6</v>
      </c>
      <c r="D231" s="1">
        <v>3.4193550753031802E-7</v>
      </c>
      <c r="F231">
        <f t="shared" si="9"/>
        <v>5.2003268532042795E-9</v>
      </c>
      <c r="G231">
        <f t="shared" si="10"/>
        <v>10631.349117769423</v>
      </c>
      <c r="H231">
        <f t="shared" si="11"/>
        <v>0.31548669641059857</v>
      </c>
    </row>
    <row r="232" spans="1:8" x14ac:dyDescent="0.2">
      <c r="A232">
        <v>292.98867797851602</v>
      </c>
      <c r="B232">
        <v>164.450004577637</v>
      </c>
      <c r="C232" s="1">
        <v>6.9708312289296098E-6</v>
      </c>
      <c r="D232" s="1">
        <v>3.3032970695231201E-7</v>
      </c>
      <c r="F232">
        <f t="shared" si="9"/>
        <v>6.9708312289296096E-9</v>
      </c>
      <c r="G232">
        <f t="shared" si="10"/>
        <v>13086.515560007874</v>
      </c>
      <c r="H232">
        <f t="shared" si="11"/>
        <v>0.42289736351778623</v>
      </c>
    </row>
    <row r="233" spans="1:8" x14ac:dyDescent="0.2">
      <c r="A233">
        <v>292.98979187011702</v>
      </c>
      <c r="B233">
        <v>202.38464355468699</v>
      </c>
      <c r="C233" s="1">
        <v>9.0960458763413295E-6</v>
      </c>
      <c r="D233" s="1">
        <v>3.1713449293829002E-7</v>
      </c>
      <c r="F233">
        <f t="shared" si="9"/>
        <v>9.0960458763413298E-9</v>
      </c>
      <c r="G233">
        <f t="shared" si="10"/>
        <v>16105.258213809864</v>
      </c>
      <c r="H233">
        <f t="shared" si="11"/>
        <v>0.55182713412676465</v>
      </c>
    </row>
    <row r="234" spans="1:8" x14ac:dyDescent="0.2">
      <c r="A234">
        <v>292.98966979980497</v>
      </c>
      <c r="B234">
        <v>248.999397277832</v>
      </c>
      <c r="C234" s="1">
        <v>1.1045945766197E-5</v>
      </c>
      <c r="D234" s="1">
        <v>3.3913636342666198E-7</v>
      </c>
      <c r="F234">
        <f t="shared" si="9"/>
        <v>1.1045945766197001E-8</v>
      </c>
      <c r="G234">
        <f t="shared" si="10"/>
        <v>19814.742451834794</v>
      </c>
      <c r="H234">
        <f t="shared" si="11"/>
        <v>0.67012113601299395</v>
      </c>
    </row>
    <row r="235" spans="1:8" x14ac:dyDescent="0.2">
      <c r="A235">
        <v>292.98982238769503</v>
      </c>
      <c r="B235">
        <v>306.79113769531301</v>
      </c>
      <c r="C235" s="1">
        <v>1.38022626557121E-5</v>
      </c>
      <c r="D235" s="1">
        <v>3.5309423729408E-7</v>
      </c>
      <c r="F235">
        <f t="shared" si="9"/>
        <v>1.3802262655712101E-8</v>
      </c>
      <c r="G235">
        <f t="shared" si="10"/>
        <v>24413.663030497686</v>
      </c>
      <c r="H235">
        <f t="shared" si="11"/>
        <v>0.83733780032670857</v>
      </c>
    </row>
    <row r="236" spans="1:8" x14ac:dyDescent="0.2">
      <c r="A236">
        <v>292.99005126953102</v>
      </c>
      <c r="B236">
        <v>378.00259399414102</v>
      </c>
      <c r="C236" s="1">
        <v>1.6769167246713801E-5</v>
      </c>
      <c r="D236" s="1">
        <v>3.1625233833970902E-7</v>
      </c>
      <c r="F236">
        <f t="shared" si="9"/>
        <v>1.6769167246713801E-8</v>
      </c>
      <c r="G236">
        <f t="shared" si="10"/>
        <v>30080.490667863167</v>
      </c>
      <c r="H236">
        <f t="shared" si="11"/>
        <v>1.0173301266559311</v>
      </c>
    </row>
    <row r="237" spans="1:8" x14ac:dyDescent="0.2">
      <c r="A237">
        <v>292.98866271972702</v>
      </c>
      <c r="B237">
        <v>465.82061767578102</v>
      </c>
      <c r="C237" s="1">
        <v>2.07815519081372E-5</v>
      </c>
      <c r="D237" s="1">
        <v>3.5043619023475503E-7</v>
      </c>
      <c r="F237">
        <f t="shared" si="9"/>
        <v>2.0781551908137199E-8</v>
      </c>
      <c r="G237">
        <f t="shared" si="10"/>
        <v>37068.826948610229</v>
      </c>
      <c r="H237">
        <f t="shared" si="11"/>
        <v>1.260748284262899</v>
      </c>
    </row>
    <row r="238" spans="1:8" x14ac:dyDescent="0.2">
      <c r="A238">
        <v>292.98986816406301</v>
      </c>
      <c r="B238">
        <v>573.223388671875</v>
      </c>
      <c r="C238" s="1">
        <v>2.6937195643471001E-5</v>
      </c>
      <c r="D238" s="1">
        <v>3.3561363663212997E-7</v>
      </c>
      <c r="F238">
        <f t="shared" si="9"/>
        <v>2.6937195643471002E-8</v>
      </c>
      <c r="G238">
        <f t="shared" si="10"/>
        <v>45615.667901507833</v>
      </c>
      <c r="H238">
        <f t="shared" si="11"/>
        <v>1.6341909083826587</v>
      </c>
    </row>
    <row r="239" spans="1:8" x14ac:dyDescent="0.2">
      <c r="A239">
        <v>292.98883056640602</v>
      </c>
      <c r="B239">
        <v>706.23068237304699</v>
      </c>
      <c r="C239" s="1">
        <v>3.4329988783301801E-5</v>
      </c>
      <c r="D239" s="1">
        <v>4.1238966920183198E-7</v>
      </c>
      <c r="F239">
        <f t="shared" si="9"/>
        <v>3.4329988783301798E-8</v>
      </c>
      <c r="G239">
        <f t="shared" si="10"/>
        <v>56200.052031416351</v>
      </c>
      <c r="H239">
        <f t="shared" si="11"/>
        <v>2.0826873107761057</v>
      </c>
    </row>
    <row r="240" spans="1:8" x14ac:dyDescent="0.2">
      <c r="A240">
        <v>292.98918151855497</v>
      </c>
      <c r="B240">
        <v>869.60931396484398</v>
      </c>
      <c r="C240" s="1">
        <v>4.2561438693201301E-5</v>
      </c>
      <c r="D240" s="1">
        <v>4.0727355088334301E-7</v>
      </c>
      <c r="F240">
        <f t="shared" si="9"/>
        <v>4.2561438693201302E-8</v>
      </c>
      <c r="G240">
        <f t="shared" si="10"/>
        <v>69201.31043812845</v>
      </c>
      <c r="H240">
        <f t="shared" si="11"/>
        <v>2.5820622562458073</v>
      </c>
    </row>
    <row r="241" spans="1:8" x14ac:dyDescent="0.2">
      <c r="A241">
        <v>292.99046325683599</v>
      </c>
      <c r="B241">
        <v>1070.9951782226599</v>
      </c>
      <c r="C241" s="1">
        <v>5.0725019325251197E-5</v>
      </c>
      <c r="D241" s="1">
        <v>3.6004170302066202E-7</v>
      </c>
      <c r="F241">
        <f t="shared" si="9"/>
        <v>5.0725019325251197E-8</v>
      </c>
      <c r="G241">
        <f t="shared" si="10"/>
        <v>85227.088320860872</v>
      </c>
      <c r="H241">
        <f t="shared" si="11"/>
        <v>3.07731979624063</v>
      </c>
    </row>
    <row r="242" spans="1:8" x14ac:dyDescent="0.2">
      <c r="A242">
        <v>292.99015808105497</v>
      </c>
      <c r="B242">
        <v>1318.7869262695301</v>
      </c>
      <c r="C242" s="1">
        <v>6.4493058418798195E-5</v>
      </c>
      <c r="D242" s="1">
        <v>3.0276802902298E-7</v>
      </c>
      <c r="F242">
        <f t="shared" si="9"/>
        <v>6.4493058418798188E-8</v>
      </c>
      <c r="G242">
        <f t="shared" si="10"/>
        <v>104945.72910038132</v>
      </c>
      <c r="H242">
        <f t="shared" si="11"/>
        <v>3.9125813658088391</v>
      </c>
    </row>
    <row r="243" spans="1:8" x14ac:dyDescent="0.2">
      <c r="A243">
        <v>292.98985290527298</v>
      </c>
      <c r="B243">
        <v>1624.6610717773401</v>
      </c>
      <c r="C243" s="1">
        <v>7.4961265415755999E-5</v>
      </c>
      <c r="D243" s="1">
        <v>4.3342839036787098E-7</v>
      </c>
      <c r="F243">
        <f t="shared" si="9"/>
        <v>7.4961265415755998E-8</v>
      </c>
      <c r="G243">
        <f t="shared" si="10"/>
        <v>129286.42021117012</v>
      </c>
      <c r="H243">
        <f t="shared" si="11"/>
        <v>4.5476529941965023</v>
      </c>
    </row>
    <row r="244" spans="1:8" x14ac:dyDescent="0.2">
      <c r="A244">
        <v>292.98986816406301</v>
      </c>
      <c r="B244">
        <v>2000.7206420898401</v>
      </c>
      <c r="C244" s="1">
        <v>7.7294302101529498E-5</v>
      </c>
      <c r="D244" s="1">
        <v>2.7000891718466299E-7</v>
      </c>
      <c r="F244">
        <f t="shared" si="9"/>
        <v>7.7294302101529499E-8</v>
      </c>
      <c r="G244">
        <f t="shared" si="10"/>
        <v>159212.2899672944</v>
      </c>
      <c r="H244">
        <f t="shared" si="11"/>
        <v>4.6891906431513721</v>
      </c>
    </row>
    <row r="245" spans="1:8" x14ac:dyDescent="0.2">
      <c r="A245">
        <v>292.99000549316401</v>
      </c>
      <c r="B245">
        <v>2464.3350830078102</v>
      </c>
      <c r="C245" s="1">
        <v>6.5060100553725195E-5</v>
      </c>
      <c r="D245" s="1">
        <v>2.86844970220444E-7</v>
      </c>
      <c r="F245">
        <f t="shared" si="9"/>
        <v>6.5060100553725191E-8</v>
      </c>
      <c r="G245">
        <f t="shared" si="10"/>
        <v>196105.55494773461</v>
      </c>
      <c r="H245">
        <f t="shared" si="11"/>
        <v>3.9469819438731784</v>
      </c>
    </row>
    <row r="246" spans="1:8" x14ac:dyDescent="0.2">
      <c r="A246">
        <v>292.989990234375</v>
      </c>
      <c r="B246">
        <v>3035.07055664063</v>
      </c>
      <c r="C246" s="1">
        <v>3.9003574282168599E-5</v>
      </c>
      <c r="D246" s="1">
        <v>3.4370787791317201E-7</v>
      </c>
      <c r="F246">
        <f t="shared" si="9"/>
        <v>3.9003574282168598E-8</v>
      </c>
      <c r="G246">
        <f t="shared" si="10"/>
        <v>241523.2408610133</v>
      </c>
      <c r="H246">
        <f t="shared" si="11"/>
        <v>2.3662183446997624</v>
      </c>
    </row>
    <row r="247" spans="1:8" x14ac:dyDescent="0.2">
      <c r="A247">
        <v>292.99043273925798</v>
      </c>
      <c r="B247">
        <v>3737.6966552734398</v>
      </c>
      <c r="C247" s="1">
        <v>2.6495265768998201E-6</v>
      </c>
      <c r="D247" s="1">
        <v>3.1783012002974101E-7</v>
      </c>
      <c r="F247">
        <f t="shared" si="9"/>
        <v>2.6495265768998202E-9</v>
      </c>
      <c r="G247">
        <f t="shared" si="10"/>
        <v>297436.44923240592</v>
      </c>
      <c r="H247">
        <f t="shared" si="11"/>
        <v>0.16073804789465423</v>
      </c>
    </row>
    <row r="248" spans="1:8" x14ac:dyDescent="0.2">
      <c r="A248">
        <v>292.99041748046898</v>
      </c>
      <c r="B248">
        <v>4603.2111816406295</v>
      </c>
      <c r="C248" s="1">
        <v>-2.83494340404514E-5</v>
      </c>
      <c r="D248" s="1">
        <v>3.7397118744474002E-7</v>
      </c>
      <c r="F248">
        <f t="shared" si="9"/>
        <v>-2.8349434040451399E-8</v>
      </c>
      <c r="G248">
        <f t="shared" si="10"/>
        <v>366311.90682699537</v>
      </c>
      <c r="H248">
        <f t="shared" si="11"/>
        <v>-1.7198667589559771</v>
      </c>
    </row>
    <row r="249" spans="1:8" x14ac:dyDescent="0.2">
      <c r="A249">
        <v>292.99069213867199</v>
      </c>
      <c r="B249">
        <v>5669.494140625</v>
      </c>
      <c r="C249" s="1">
        <v>-5.3089212686087003E-5</v>
      </c>
      <c r="D249" s="1">
        <v>3.3901375681788399E-7</v>
      </c>
      <c r="F249">
        <f t="shared" si="9"/>
        <v>-5.3089212686087001E-8</v>
      </c>
      <c r="G249">
        <f t="shared" si="10"/>
        <v>451164.00865550298</v>
      </c>
      <c r="H249">
        <f t="shared" si="11"/>
        <v>-3.2207476180180965</v>
      </c>
    </row>
    <row r="250" spans="1:8" x14ac:dyDescent="0.2">
      <c r="A250">
        <v>292.99058532714798</v>
      </c>
      <c r="B250">
        <v>6981.7255859375</v>
      </c>
      <c r="C250" s="1">
        <v>-7.6290688316834604E-5</v>
      </c>
      <c r="D250" s="1">
        <v>4.1777403558773402E-7</v>
      </c>
      <c r="F250">
        <f t="shared" si="9"/>
        <v>-7.6290688316834604E-8</v>
      </c>
      <c r="G250">
        <f t="shared" si="10"/>
        <v>555588.06915655627</v>
      </c>
      <c r="H250">
        <f t="shared" si="11"/>
        <v>-4.6283047014897569</v>
      </c>
    </row>
    <row r="251" spans="1:8" x14ac:dyDescent="0.2">
      <c r="A251">
        <v>292.99221801757801</v>
      </c>
      <c r="B251">
        <v>8598.67822265625</v>
      </c>
      <c r="C251">
        <v>-1.0142208159364299E-4</v>
      </c>
      <c r="D251" s="1">
        <v>4.05864872318273E-7</v>
      </c>
      <c r="F251">
        <f t="shared" si="9"/>
        <v>-1.01422081593643E-7</v>
      </c>
      <c r="G251">
        <f t="shared" si="10"/>
        <v>684261.07159618766</v>
      </c>
      <c r="H251">
        <f t="shared" si="11"/>
        <v>-6.1529435299530943</v>
      </c>
    </row>
    <row r="252" spans="1:8" x14ac:dyDescent="0.2">
      <c r="A252">
        <v>292.99159240722702</v>
      </c>
      <c r="B252">
        <v>10589.729003906201</v>
      </c>
      <c r="C252">
        <v>-1.3095786514425101E-4</v>
      </c>
      <c r="D252" s="1">
        <v>4.1750883468772902E-7</v>
      </c>
      <c r="F252">
        <f t="shared" si="9"/>
        <v>-1.3095786514425102E-7</v>
      </c>
      <c r="G252">
        <f t="shared" si="10"/>
        <v>842703.85848764249</v>
      </c>
      <c r="H252">
        <f t="shared" si="11"/>
        <v>-7.944782204966045</v>
      </c>
    </row>
    <row r="253" spans="1:8" x14ac:dyDescent="0.2">
      <c r="A253">
        <v>292.99157714843801</v>
      </c>
      <c r="B253">
        <v>13041.1796875</v>
      </c>
      <c r="C253">
        <v>-1.6634629027747599E-4</v>
      </c>
      <c r="D253" s="1">
        <v>3.7714729795680201E-7</v>
      </c>
      <c r="F253">
        <f t="shared" si="9"/>
        <v>-1.66346290277476E-7</v>
      </c>
      <c r="G253">
        <f t="shared" si="10"/>
        <v>1037784.105507622</v>
      </c>
      <c r="H253">
        <f t="shared" si="11"/>
        <v>-10.091681361809558</v>
      </c>
    </row>
    <row r="254" spans="1:8" x14ac:dyDescent="0.2">
      <c r="A254">
        <v>292.99163818359398</v>
      </c>
      <c r="B254">
        <v>16060.960449218701</v>
      </c>
      <c r="C254">
        <v>-2.0944726768004301E-4</v>
      </c>
      <c r="D254" s="1">
        <v>5.9812835543720896E-7</v>
      </c>
      <c r="F254">
        <f t="shared" si="9"/>
        <v>-2.0944726768004302E-7</v>
      </c>
      <c r="G254">
        <f t="shared" si="10"/>
        <v>1278090.6231482921</v>
      </c>
      <c r="H254">
        <f t="shared" si="11"/>
        <v>-12.706475653907793</v>
      </c>
    </row>
    <row r="255" spans="1:8" x14ac:dyDescent="0.2">
      <c r="A255">
        <v>292.99275207519503</v>
      </c>
      <c r="B255">
        <v>19779.3994140625</v>
      </c>
      <c r="C255">
        <v>-2.6269732608430799E-4</v>
      </c>
      <c r="D255" s="1">
        <v>6.8518932545973999E-7</v>
      </c>
      <c r="F255">
        <f t="shared" si="9"/>
        <v>-2.6269732608430797E-7</v>
      </c>
      <c r="G255">
        <f t="shared" si="10"/>
        <v>1573994.5940684925</v>
      </c>
      <c r="H255">
        <f t="shared" si="11"/>
        <v>-15.936981251701427</v>
      </c>
    </row>
    <row r="256" spans="1:8" x14ac:dyDescent="0.2">
      <c r="A256">
        <v>292.99391174316401</v>
      </c>
      <c r="B256">
        <v>24359.51171875</v>
      </c>
      <c r="C256">
        <v>-3.2630748618730202E-4</v>
      </c>
      <c r="D256" s="1">
        <v>7.4421349723750798E-7</v>
      </c>
      <c r="F256">
        <f t="shared" si="9"/>
        <v>-3.2630748618730201E-7</v>
      </c>
      <c r="G256">
        <f t="shared" si="10"/>
        <v>1938468.3506720071</v>
      </c>
      <c r="H256">
        <f t="shared" si="11"/>
        <v>-19.796000085619045</v>
      </c>
    </row>
    <row r="257" spans="1:8" x14ac:dyDescent="0.2">
      <c r="A257">
        <v>292.99221801757801</v>
      </c>
      <c r="B257">
        <v>29999.32421875</v>
      </c>
      <c r="C257">
        <v>-4.05965064164484E-4</v>
      </c>
      <c r="D257" s="1">
        <v>7.01349837473979E-7</v>
      </c>
      <c r="F257">
        <f t="shared" si="9"/>
        <v>-4.0596506416448402E-7</v>
      </c>
      <c r="G257">
        <f t="shared" si="10"/>
        <v>2387270.3694152371</v>
      </c>
      <c r="H257">
        <f t="shared" si="11"/>
        <v>-24.628562889744696</v>
      </c>
    </row>
    <row r="258" spans="1:8" x14ac:dyDescent="0.2">
      <c r="D258" s="1"/>
    </row>
    <row r="259" spans="1:8" x14ac:dyDescent="0.2">
      <c r="D259" s="1"/>
    </row>
    <row r="260" spans="1:8" x14ac:dyDescent="0.2">
      <c r="D260" s="1"/>
    </row>
    <row r="261" spans="1:8" x14ac:dyDescent="0.2">
      <c r="D261" s="1"/>
    </row>
    <row r="262" spans="1:8" x14ac:dyDescent="0.2">
      <c r="D262" s="1"/>
    </row>
    <row r="263" spans="1:8" x14ac:dyDescent="0.2">
      <c r="D263" s="1"/>
    </row>
    <row r="264" spans="1:8" x14ac:dyDescent="0.2">
      <c r="D264" s="1"/>
    </row>
    <row r="265" spans="1:8" x14ac:dyDescent="0.2">
      <c r="D265" s="1"/>
    </row>
    <row r="266" spans="1:8" x14ac:dyDescent="0.2">
      <c r="D266" s="1"/>
    </row>
    <row r="267" spans="1:8" x14ac:dyDescent="0.2">
      <c r="D267" s="1"/>
    </row>
    <row r="268" spans="1:8" x14ac:dyDescent="0.2">
      <c r="D268" s="1"/>
    </row>
    <row r="269" spans="1:8" x14ac:dyDescent="0.2">
      <c r="D269" s="1"/>
    </row>
    <row r="270" spans="1:8" x14ac:dyDescent="0.2">
      <c r="D270" s="1"/>
    </row>
    <row r="271" spans="1:8" x14ac:dyDescent="0.2">
      <c r="D271" s="1"/>
    </row>
    <row r="272" spans="1:8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  <row r="428" spans="4:4" x14ac:dyDescent="0.2">
      <c r="D428" s="1"/>
    </row>
    <row r="429" spans="4:4" x14ac:dyDescent="0.2">
      <c r="D429" s="1"/>
    </row>
    <row r="430" spans="4:4" x14ac:dyDescent="0.2">
      <c r="D430" s="1"/>
    </row>
    <row r="431" spans="4:4" x14ac:dyDescent="0.2">
      <c r="D431" s="1"/>
    </row>
    <row r="432" spans="4:4" x14ac:dyDescent="0.2">
      <c r="D432" s="1"/>
    </row>
    <row r="433" spans="4:4" x14ac:dyDescent="0.2">
      <c r="D433" s="1"/>
    </row>
    <row r="434" spans="4:4" x14ac:dyDescent="0.2">
      <c r="D434" s="1"/>
    </row>
    <row r="435" spans="4:4" x14ac:dyDescent="0.2">
      <c r="D435" s="1"/>
    </row>
    <row r="436" spans="4:4" x14ac:dyDescent="0.2">
      <c r="D436" s="1"/>
    </row>
    <row r="437" spans="4:4" x14ac:dyDescent="0.2">
      <c r="D437" s="1"/>
    </row>
    <row r="438" spans="4:4" x14ac:dyDescent="0.2">
      <c r="D438" s="1"/>
    </row>
    <row r="439" spans="4:4" x14ac:dyDescent="0.2">
      <c r="D439" s="1"/>
    </row>
    <row r="440" spans="4:4" x14ac:dyDescent="0.2">
      <c r="D440" s="1"/>
    </row>
    <row r="441" spans="4:4" x14ac:dyDescent="0.2">
      <c r="D441" s="1"/>
    </row>
    <row r="442" spans="4:4" x14ac:dyDescent="0.2">
      <c r="D442" s="1"/>
    </row>
    <row r="443" spans="4:4" x14ac:dyDescent="0.2">
      <c r="D443" s="1"/>
    </row>
    <row r="444" spans="4:4" x14ac:dyDescent="0.2">
      <c r="D444" s="1"/>
    </row>
    <row r="445" spans="4:4" x14ac:dyDescent="0.2">
      <c r="D445" s="1"/>
    </row>
    <row r="446" spans="4:4" x14ac:dyDescent="0.2">
      <c r="D446" s="1"/>
    </row>
    <row r="447" spans="4:4" x14ac:dyDescent="0.2">
      <c r="D447" s="1"/>
    </row>
    <row r="448" spans="4:4" x14ac:dyDescent="0.2">
      <c r="D448" s="1"/>
    </row>
    <row r="449" spans="4:4" x14ac:dyDescent="0.2">
      <c r="D449" s="1"/>
    </row>
    <row r="450" spans="4:4" x14ac:dyDescent="0.2">
      <c r="D450" s="1"/>
    </row>
    <row r="451" spans="4:4" x14ac:dyDescent="0.2">
      <c r="D451" s="1"/>
    </row>
    <row r="452" spans="4:4" x14ac:dyDescent="0.2">
      <c r="D452" s="1"/>
    </row>
    <row r="453" spans="4:4" x14ac:dyDescent="0.2">
      <c r="D453" s="1"/>
    </row>
    <row r="454" spans="4:4" x14ac:dyDescent="0.2">
      <c r="D454" s="1"/>
    </row>
    <row r="455" spans="4:4" x14ac:dyDescent="0.2">
      <c r="D455" s="1"/>
    </row>
    <row r="456" spans="4:4" x14ac:dyDescent="0.2">
      <c r="D456" s="1"/>
    </row>
    <row r="457" spans="4:4" x14ac:dyDescent="0.2">
      <c r="D457" s="1"/>
    </row>
    <row r="458" spans="4:4" x14ac:dyDescent="0.2">
      <c r="D458" s="1"/>
    </row>
    <row r="459" spans="4:4" x14ac:dyDescent="0.2">
      <c r="D459" s="1"/>
    </row>
    <row r="460" spans="4:4" x14ac:dyDescent="0.2">
      <c r="D460" s="1"/>
    </row>
    <row r="461" spans="4:4" x14ac:dyDescent="0.2">
      <c r="D461" s="1"/>
    </row>
    <row r="462" spans="4:4" x14ac:dyDescent="0.2">
      <c r="D462" s="1"/>
    </row>
    <row r="463" spans="4:4" x14ac:dyDescent="0.2">
      <c r="D463" s="1"/>
    </row>
    <row r="464" spans="4:4" x14ac:dyDescent="0.2">
      <c r="D464" s="1"/>
    </row>
    <row r="465" spans="4:4" x14ac:dyDescent="0.2">
      <c r="D465" s="1"/>
    </row>
    <row r="466" spans="4:4" x14ac:dyDescent="0.2">
      <c r="D466" s="1"/>
    </row>
    <row r="467" spans="4:4" x14ac:dyDescent="0.2">
      <c r="D467" s="1"/>
    </row>
    <row r="468" spans="4:4" x14ac:dyDescent="0.2">
      <c r="D468" s="1"/>
    </row>
    <row r="469" spans="4:4" x14ac:dyDescent="0.2">
      <c r="D469" s="1"/>
    </row>
    <row r="470" spans="4:4" x14ac:dyDescent="0.2">
      <c r="D470" s="1"/>
    </row>
    <row r="471" spans="4:4" x14ac:dyDescent="0.2">
      <c r="D471" s="1"/>
    </row>
    <row r="472" spans="4:4" x14ac:dyDescent="0.2">
      <c r="D472" s="1"/>
    </row>
    <row r="473" spans="4:4" x14ac:dyDescent="0.2">
      <c r="D473" s="1"/>
    </row>
    <row r="474" spans="4:4" x14ac:dyDescent="0.2">
      <c r="D474" s="1"/>
    </row>
    <row r="475" spans="4:4" x14ac:dyDescent="0.2">
      <c r="D475" s="1"/>
    </row>
    <row r="476" spans="4:4" x14ac:dyDescent="0.2">
      <c r="D476" s="1"/>
    </row>
    <row r="477" spans="4:4" x14ac:dyDescent="0.2">
      <c r="D477" s="1"/>
    </row>
    <row r="478" spans="4:4" x14ac:dyDescent="0.2">
      <c r="D478" s="1"/>
    </row>
    <row r="479" spans="4:4" x14ac:dyDescent="0.2">
      <c r="D479" s="1"/>
    </row>
    <row r="480" spans="4:4" x14ac:dyDescent="0.2">
      <c r="D480" s="1"/>
    </row>
    <row r="482" spans="4:4" x14ac:dyDescent="0.2">
      <c r="D482" s="1"/>
    </row>
    <row r="483" spans="4:4" x14ac:dyDescent="0.2">
      <c r="D483" s="1"/>
    </row>
    <row r="484" spans="4:4" x14ac:dyDescent="0.2">
      <c r="D484" s="1"/>
    </row>
    <row r="485" spans="4:4" x14ac:dyDescent="0.2">
      <c r="D485" s="1"/>
    </row>
    <row r="486" spans="4:4" x14ac:dyDescent="0.2">
      <c r="D486" s="1"/>
    </row>
    <row r="487" spans="4:4" x14ac:dyDescent="0.2">
      <c r="D487" s="1"/>
    </row>
    <row r="488" spans="4:4" x14ac:dyDescent="0.2">
      <c r="D488" s="1"/>
    </row>
    <row r="489" spans="4:4" x14ac:dyDescent="0.2">
      <c r="D489" s="1"/>
    </row>
    <row r="490" spans="4:4" x14ac:dyDescent="0.2">
      <c r="D490" s="1"/>
    </row>
    <row r="491" spans="4:4" x14ac:dyDescent="0.2">
      <c r="D491" s="1"/>
    </row>
    <row r="492" spans="4:4" x14ac:dyDescent="0.2">
      <c r="D492" s="1"/>
    </row>
    <row r="493" spans="4:4" x14ac:dyDescent="0.2">
      <c r="D493" s="1"/>
    </row>
    <row r="494" spans="4:4" x14ac:dyDescent="0.2">
      <c r="D494" s="1"/>
    </row>
    <row r="497" spans="4:4" x14ac:dyDescent="0.2">
      <c r="D497" s="1"/>
    </row>
    <row r="499" spans="4:4" x14ac:dyDescent="0.2">
      <c r="D499" s="1"/>
    </row>
    <row r="500" spans="4:4" x14ac:dyDescent="0.2">
      <c r="D500" s="1"/>
    </row>
    <row r="501" spans="4:4" x14ac:dyDescent="0.2">
      <c r="D501" s="1"/>
    </row>
    <row r="503" spans="4:4" x14ac:dyDescent="0.2">
      <c r="D503" s="1"/>
    </row>
    <row r="504" spans="4:4" x14ac:dyDescent="0.2">
      <c r="D504" s="1"/>
    </row>
    <row r="506" spans="4:4" x14ac:dyDescent="0.2">
      <c r="D506" s="1"/>
    </row>
    <row r="507" spans="4:4" x14ac:dyDescent="0.2">
      <c r="D507" s="1"/>
    </row>
    <row r="508" spans="4:4" x14ac:dyDescent="0.2">
      <c r="D508" s="1"/>
    </row>
    <row r="510" spans="4:4" x14ac:dyDescent="0.2">
      <c r="D510" s="1"/>
    </row>
    <row r="511" spans="4:4" x14ac:dyDescent="0.2">
      <c r="D511" s="1"/>
    </row>
    <row r="512" spans="4:4" x14ac:dyDescent="0.2">
      <c r="D512" s="1"/>
    </row>
    <row r="513" spans="4:4" x14ac:dyDescent="0.2">
      <c r="D513" s="1"/>
    </row>
    <row r="516" spans="4:4" x14ac:dyDescent="0.2">
      <c r="D516" s="1"/>
    </row>
    <row r="517" spans="4:4" x14ac:dyDescent="0.2">
      <c r="D517" s="1"/>
    </row>
    <row r="519" spans="4:4" x14ac:dyDescent="0.2">
      <c r="D519" s="1"/>
    </row>
    <row r="520" spans="4:4" x14ac:dyDescent="0.2">
      <c r="D520" s="1"/>
    </row>
    <row r="522" spans="4:4" x14ac:dyDescent="0.2">
      <c r="D522" s="1"/>
    </row>
    <row r="523" spans="4:4" x14ac:dyDescent="0.2">
      <c r="D523" s="1"/>
    </row>
    <row r="524" spans="4:4" x14ac:dyDescent="0.2">
      <c r="D524" s="1"/>
    </row>
    <row r="526" spans="4:4" x14ac:dyDescent="0.2">
      <c r="D526" s="1"/>
    </row>
    <row r="527" spans="4:4" x14ac:dyDescent="0.2">
      <c r="D527" s="1"/>
    </row>
    <row r="529" spans="4:4" x14ac:dyDescent="0.2">
      <c r="D529" s="1"/>
    </row>
    <row r="530" spans="4:4" x14ac:dyDescent="0.2">
      <c r="D530" s="1"/>
    </row>
    <row r="542" spans="4:4" x14ac:dyDescent="0.2">
      <c r="D542" s="1"/>
    </row>
    <row r="560" spans="4:4" x14ac:dyDescent="0.2">
      <c r="D560" s="1"/>
    </row>
    <row r="728" spans="4:4" x14ac:dyDescent="0.2">
      <c r="D728" s="1"/>
    </row>
    <row r="732" spans="4:4" x14ac:dyDescent="0.2">
      <c r="D732" s="1"/>
    </row>
    <row r="745" spans="4:4" x14ac:dyDescent="0.2">
      <c r="D745" s="1"/>
    </row>
    <row r="749" spans="4:4" x14ac:dyDescent="0.2">
      <c r="D749" s="1"/>
    </row>
    <row r="759" spans="4:4" x14ac:dyDescent="0.2">
      <c r="D759" s="1"/>
    </row>
    <row r="770" spans="4:4" x14ac:dyDescent="0.2">
      <c r="D770" s="1"/>
    </row>
    <row r="771" spans="4:4" x14ac:dyDescent="0.2">
      <c r="D771" s="1"/>
    </row>
    <row r="772" spans="4:4" x14ac:dyDescent="0.2">
      <c r="D772" s="1"/>
    </row>
    <row r="773" spans="4:4" x14ac:dyDescent="0.2">
      <c r="D773" s="1"/>
    </row>
    <row r="775" spans="4:4" x14ac:dyDescent="0.2">
      <c r="D775" s="1"/>
    </row>
    <row r="776" spans="4:4" x14ac:dyDescent="0.2">
      <c r="D776" s="1"/>
    </row>
    <row r="777" spans="4:4" x14ac:dyDescent="0.2">
      <c r="D777" s="1"/>
    </row>
    <row r="779" spans="4:4" x14ac:dyDescent="0.2">
      <c r="D779" s="1"/>
    </row>
    <row r="780" spans="4:4" x14ac:dyDescent="0.2">
      <c r="D780" s="1"/>
    </row>
    <row r="781" spans="4:4" x14ac:dyDescent="0.2">
      <c r="D781" s="1"/>
    </row>
    <row r="782" spans="4:4" x14ac:dyDescent="0.2">
      <c r="D782" s="1"/>
    </row>
    <row r="783" spans="4:4" x14ac:dyDescent="0.2">
      <c r="D783" s="1"/>
    </row>
    <row r="784" spans="4:4" x14ac:dyDescent="0.2">
      <c r="D784" s="1"/>
    </row>
    <row r="785" spans="4:4" x14ac:dyDescent="0.2">
      <c r="D785" s="1"/>
    </row>
    <row r="786" spans="4:4" x14ac:dyDescent="0.2">
      <c r="D786" s="1"/>
    </row>
    <row r="787" spans="4:4" x14ac:dyDescent="0.2">
      <c r="D787" s="1"/>
    </row>
    <row r="789" spans="4:4" x14ac:dyDescent="0.2">
      <c r="D789" s="1"/>
    </row>
    <row r="790" spans="4:4" x14ac:dyDescent="0.2">
      <c r="D790" s="1"/>
    </row>
    <row r="791" spans="4:4" x14ac:dyDescent="0.2">
      <c r="D791" s="1"/>
    </row>
    <row r="793" spans="4:4" x14ac:dyDescent="0.2">
      <c r="D793" s="1"/>
    </row>
    <row r="796" spans="4:4" x14ac:dyDescent="0.2">
      <c r="D796" s="1"/>
    </row>
    <row r="797" spans="4:4" x14ac:dyDescent="0.2">
      <c r="D797" s="1"/>
    </row>
    <row r="799" spans="4:4" x14ac:dyDescent="0.2">
      <c r="D799" s="1"/>
    </row>
    <row r="800" spans="4:4" x14ac:dyDescent="0.2">
      <c r="D800" s="1"/>
    </row>
    <row r="801" spans="4:4" x14ac:dyDescent="0.2">
      <c r="D801" s="1"/>
    </row>
    <row r="803" spans="4:4" x14ac:dyDescent="0.2">
      <c r="D803" s="1"/>
    </row>
    <row r="804" spans="4:4" x14ac:dyDescent="0.2">
      <c r="D804" s="1"/>
    </row>
    <row r="807" spans="4:4" x14ac:dyDescent="0.2">
      <c r="D807" s="1"/>
    </row>
    <row r="810" spans="4:4" x14ac:dyDescent="0.2">
      <c r="D810" s="1"/>
    </row>
    <row r="811" spans="4:4" x14ac:dyDescent="0.2">
      <c r="D811" s="1"/>
    </row>
    <row r="812" spans="4:4" x14ac:dyDescent="0.2">
      <c r="D812" s="1"/>
    </row>
    <row r="813" spans="4:4" x14ac:dyDescent="0.2">
      <c r="D813" s="1"/>
    </row>
    <row r="815" spans="4:4" x14ac:dyDescent="0.2">
      <c r="D815" s="1"/>
    </row>
    <row r="816" spans="4:4" x14ac:dyDescent="0.2">
      <c r="D816" s="1"/>
    </row>
    <row r="817" spans="4:4" x14ac:dyDescent="0.2">
      <c r="D817" s="1"/>
    </row>
    <row r="818" spans="4:4" x14ac:dyDescent="0.2">
      <c r="D818" s="1"/>
    </row>
    <row r="819" spans="4:4" x14ac:dyDescent="0.2">
      <c r="D819" s="1"/>
    </row>
    <row r="820" spans="4:4" x14ac:dyDescent="0.2">
      <c r="D820" s="1"/>
    </row>
    <row r="823" spans="4:4" x14ac:dyDescent="0.2">
      <c r="D823" s="1"/>
    </row>
    <row r="824" spans="4:4" x14ac:dyDescent="0.2">
      <c r="D824" s="1"/>
    </row>
    <row r="825" spans="4:4" x14ac:dyDescent="0.2">
      <c r="D825" s="1"/>
    </row>
    <row r="826" spans="4:4" x14ac:dyDescent="0.2">
      <c r="D826" s="1"/>
    </row>
    <row r="827" spans="4:4" x14ac:dyDescent="0.2">
      <c r="D827" s="1"/>
    </row>
    <row r="828" spans="4:4" x14ac:dyDescent="0.2">
      <c r="D828" s="1"/>
    </row>
    <row r="829" spans="4:4" x14ac:dyDescent="0.2">
      <c r="D829" s="1"/>
    </row>
    <row r="830" spans="4:4" x14ac:dyDescent="0.2">
      <c r="D830" s="1"/>
    </row>
    <row r="831" spans="4:4" x14ac:dyDescent="0.2">
      <c r="D831" s="1"/>
    </row>
    <row r="832" spans="4:4" x14ac:dyDescent="0.2">
      <c r="D832" s="1"/>
    </row>
    <row r="833" spans="4:4" x14ac:dyDescent="0.2">
      <c r="D833" s="1"/>
    </row>
    <row r="834" spans="4:4" x14ac:dyDescent="0.2">
      <c r="D834" s="1"/>
    </row>
    <row r="836" spans="4:4" x14ac:dyDescent="0.2">
      <c r="D836" s="1"/>
    </row>
    <row r="837" spans="4:4" x14ac:dyDescent="0.2">
      <c r="D837" s="1"/>
    </row>
    <row r="838" spans="4:4" x14ac:dyDescent="0.2">
      <c r="D838" s="1"/>
    </row>
    <row r="839" spans="4:4" x14ac:dyDescent="0.2">
      <c r="D839" s="1"/>
    </row>
    <row r="840" spans="4:4" x14ac:dyDescent="0.2">
      <c r="D840" s="1"/>
    </row>
    <row r="841" spans="4:4" x14ac:dyDescent="0.2">
      <c r="D841" s="1"/>
    </row>
    <row r="842" spans="4:4" x14ac:dyDescent="0.2">
      <c r="D842" s="1"/>
    </row>
    <row r="843" spans="4:4" x14ac:dyDescent="0.2">
      <c r="D843" s="1"/>
    </row>
    <row r="844" spans="4:4" x14ac:dyDescent="0.2">
      <c r="D844" s="1"/>
    </row>
    <row r="845" spans="4:4" x14ac:dyDescent="0.2">
      <c r="D845" s="1"/>
    </row>
    <row r="846" spans="4:4" x14ac:dyDescent="0.2">
      <c r="D846" s="1"/>
    </row>
    <row r="847" spans="4:4" x14ac:dyDescent="0.2">
      <c r="D847" s="1"/>
    </row>
    <row r="848" spans="4:4" x14ac:dyDescent="0.2">
      <c r="D848" s="1"/>
    </row>
    <row r="849" spans="4:4" x14ac:dyDescent="0.2">
      <c r="D849" s="1"/>
    </row>
    <row r="850" spans="4:4" x14ac:dyDescent="0.2">
      <c r="D850" s="1"/>
    </row>
    <row r="851" spans="4:4" x14ac:dyDescent="0.2">
      <c r="D851" s="1"/>
    </row>
    <row r="852" spans="4:4" x14ac:dyDescent="0.2">
      <c r="D852" s="1"/>
    </row>
    <row r="853" spans="4:4" x14ac:dyDescent="0.2">
      <c r="D853" s="1"/>
    </row>
    <row r="854" spans="4:4" x14ac:dyDescent="0.2">
      <c r="D854" s="1"/>
    </row>
    <row r="855" spans="4:4" x14ac:dyDescent="0.2">
      <c r="D855" s="1"/>
    </row>
    <row r="856" spans="4:4" x14ac:dyDescent="0.2">
      <c r="D856" s="1"/>
    </row>
    <row r="857" spans="4:4" x14ac:dyDescent="0.2">
      <c r="D857" s="1"/>
    </row>
    <row r="858" spans="4:4" x14ac:dyDescent="0.2">
      <c r="D858" s="1"/>
    </row>
    <row r="859" spans="4:4" x14ac:dyDescent="0.2">
      <c r="D859" s="1"/>
    </row>
    <row r="860" spans="4:4" x14ac:dyDescent="0.2">
      <c r="D860" s="1"/>
    </row>
    <row r="861" spans="4:4" x14ac:dyDescent="0.2">
      <c r="D861" s="1"/>
    </row>
    <row r="862" spans="4:4" x14ac:dyDescent="0.2">
      <c r="D862" s="1"/>
    </row>
    <row r="863" spans="4:4" x14ac:dyDescent="0.2">
      <c r="D863" s="1"/>
    </row>
    <row r="864" spans="4:4" x14ac:dyDescent="0.2">
      <c r="D864" s="1"/>
    </row>
    <row r="865" spans="4:4" x14ac:dyDescent="0.2">
      <c r="D865" s="1"/>
    </row>
    <row r="866" spans="4:4" x14ac:dyDescent="0.2">
      <c r="D866" s="1"/>
    </row>
    <row r="867" spans="4:4" x14ac:dyDescent="0.2">
      <c r="D867" s="1"/>
    </row>
    <row r="868" spans="4:4" x14ac:dyDescent="0.2">
      <c r="D868" s="1"/>
    </row>
    <row r="869" spans="4:4" x14ac:dyDescent="0.2">
      <c r="D869" s="1"/>
    </row>
    <row r="870" spans="4:4" x14ac:dyDescent="0.2">
      <c r="D870" s="1"/>
    </row>
    <row r="871" spans="4:4" x14ac:dyDescent="0.2">
      <c r="D871" s="1"/>
    </row>
    <row r="872" spans="4:4" x14ac:dyDescent="0.2">
      <c r="D872" s="1"/>
    </row>
    <row r="873" spans="4:4" x14ac:dyDescent="0.2">
      <c r="D873" s="1"/>
    </row>
    <row r="874" spans="4:4" x14ac:dyDescent="0.2">
      <c r="D874" s="1"/>
    </row>
    <row r="875" spans="4:4" x14ac:dyDescent="0.2">
      <c r="D875" s="1"/>
    </row>
    <row r="876" spans="4:4" x14ac:dyDescent="0.2">
      <c r="D876" s="1"/>
    </row>
    <row r="877" spans="4:4" x14ac:dyDescent="0.2">
      <c r="D877" s="1"/>
    </row>
    <row r="878" spans="4:4" x14ac:dyDescent="0.2">
      <c r="D878" s="1"/>
    </row>
    <row r="879" spans="4:4" x14ac:dyDescent="0.2">
      <c r="D879" s="1"/>
    </row>
    <row r="880" spans="4:4" x14ac:dyDescent="0.2">
      <c r="D880" s="1"/>
    </row>
    <row r="881" spans="4:4" x14ac:dyDescent="0.2">
      <c r="D881" s="1"/>
    </row>
    <row r="882" spans="4:4" x14ac:dyDescent="0.2">
      <c r="D882" s="1"/>
    </row>
    <row r="883" spans="4:4" x14ac:dyDescent="0.2">
      <c r="D883" s="1"/>
    </row>
    <row r="884" spans="4:4" x14ac:dyDescent="0.2">
      <c r="D884" s="1"/>
    </row>
    <row r="885" spans="4:4" x14ac:dyDescent="0.2">
      <c r="D885" s="1"/>
    </row>
    <row r="886" spans="4:4" x14ac:dyDescent="0.2">
      <c r="D886" s="1"/>
    </row>
    <row r="887" spans="4:4" x14ac:dyDescent="0.2">
      <c r="D887" s="1"/>
    </row>
    <row r="888" spans="4:4" x14ac:dyDescent="0.2">
      <c r="D888" s="1"/>
    </row>
    <row r="889" spans="4:4" x14ac:dyDescent="0.2">
      <c r="D889" s="1"/>
    </row>
    <row r="890" spans="4:4" x14ac:dyDescent="0.2">
      <c r="D890" s="1"/>
    </row>
    <row r="891" spans="4:4" x14ac:dyDescent="0.2">
      <c r="D891" s="1"/>
    </row>
    <row r="892" spans="4:4" x14ac:dyDescent="0.2">
      <c r="D892" s="1"/>
    </row>
    <row r="893" spans="4:4" x14ac:dyDescent="0.2">
      <c r="D893" s="1"/>
    </row>
    <row r="894" spans="4:4" x14ac:dyDescent="0.2">
      <c r="D894" s="1"/>
    </row>
    <row r="895" spans="4:4" x14ac:dyDescent="0.2">
      <c r="D895" s="1"/>
    </row>
    <row r="896" spans="4:4" x14ac:dyDescent="0.2">
      <c r="D896" s="1"/>
    </row>
    <row r="897" spans="4:4" x14ac:dyDescent="0.2">
      <c r="D897" s="1"/>
    </row>
    <row r="898" spans="4:4" x14ac:dyDescent="0.2">
      <c r="D898" s="1"/>
    </row>
    <row r="899" spans="4:4" x14ac:dyDescent="0.2">
      <c r="D899" s="1"/>
    </row>
    <row r="900" spans="4:4" x14ac:dyDescent="0.2">
      <c r="D900" s="1"/>
    </row>
    <row r="901" spans="4:4" x14ac:dyDescent="0.2">
      <c r="D901" s="1"/>
    </row>
    <row r="902" spans="4:4" x14ac:dyDescent="0.2">
      <c r="D902" s="1"/>
    </row>
    <row r="903" spans="4:4" x14ac:dyDescent="0.2">
      <c r="D903" s="1"/>
    </row>
    <row r="904" spans="4:4" x14ac:dyDescent="0.2">
      <c r="D904" s="1"/>
    </row>
    <row r="905" spans="4:4" x14ac:dyDescent="0.2">
      <c r="D905" s="1"/>
    </row>
    <row r="906" spans="4:4" x14ac:dyDescent="0.2">
      <c r="D906" s="1"/>
    </row>
    <row r="907" spans="4:4" x14ac:dyDescent="0.2">
      <c r="D907" s="1"/>
    </row>
    <row r="908" spans="4:4" x14ac:dyDescent="0.2">
      <c r="D908" s="1"/>
    </row>
    <row r="909" spans="4:4" x14ac:dyDescent="0.2">
      <c r="D909" s="1"/>
    </row>
    <row r="910" spans="4:4" x14ac:dyDescent="0.2">
      <c r="D910" s="1"/>
    </row>
    <row r="911" spans="4:4" x14ac:dyDescent="0.2">
      <c r="D911" s="1"/>
    </row>
    <row r="912" spans="4:4" x14ac:dyDescent="0.2">
      <c r="D912" s="1"/>
    </row>
    <row r="913" spans="4:4" x14ac:dyDescent="0.2">
      <c r="D913" s="1"/>
    </row>
    <row r="914" spans="4:4" x14ac:dyDescent="0.2">
      <c r="D914" s="1"/>
    </row>
    <row r="915" spans="4:4" x14ac:dyDescent="0.2">
      <c r="D915" s="1"/>
    </row>
    <row r="916" spans="4:4" x14ac:dyDescent="0.2">
      <c r="D916" s="1"/>
    </row>
    <row r="917" spans="4:4" x14ac:dyDescent="0.2">
      <c r="D917" s="1"/>
    </row>
    <row r="918" spans="4:4" x14ac:dyDescent="0.2">
      <c r="D918" s="1"/>
    </row>
    <row r="919" spans="4:4" x14ac:dyDescent="0.2">
      <c r="D919" s="1"/>
    </row>
    <row r="920" spans="4:4" x14ac:dyDescent="0.2">
      <c r="D920" s="1"/>
    </row>
    <row r="921" spans="4:4" x14ac:dyDescent="0.2">
      <c r="D921" s="1"/>
    </row>
    <row r="922" spans="4:4" x14ac:dyDescent="0.2">
      <c r="D922" s="1"/>
    </row>
    <row r="923" spans="4:4" x14ac:dyDescent="0.2">
      <c r="D923" s="1"/>
    </row>
    <row r="924" spans="4:4" x14ac:dyDescent="0.2">
      <c r="D924" s="1"/>
    </row>
    <row r="925" spans="4:4" x14ac:dyDescent="0.2">
      <c r="D925" s="1"/>
    </row>
    <row r="926" spans="4:4" x14ac:dyDescent="0.2">
      <c r="D926" s="1"/>
    </row>
    <row r="927" spans="4:4" x14ac:dyDescent="0.2">
      <c r="D927" s="1"/>
    </row>
    <row r="928" spans="4:4" x14ac:dyDescent="0.2">
      <c r="D928" s="1"/>
    </row>
    <row r="929" spans="4:4" x14ac:dyDescent="0.2">
      <c r="D929" s="1"/>
    </row>
    <row r="930" spans="4:4" x14ac:dyDescent="0.2">
      <c r="D930" s="1"/>
    </row>
    <row r="931" spans="4:4" x14ac:dyDescent="0.2">
      <c r="D931" s="1"/>
    </row>
    <row r="932" spans="4:4" x14ac:dyDescent="0.2">
      <c r="D932" s="1"/>
    </row>
    <row r="933" spans="4:4" x14ac:dyDescent="0.2">
      <c r="D933" s="1"/>
    </row>
    <row r="934" spans="4:4" x14ac:dyDescent="0.2">
      <c r="D934" s="1"/>
    </row>
    <row r="935" spans="4:4" x14ac:dyDescent="0.2">
      <c r="D935" s="1"/>
    </row>
    <row r="936" spans="4:4" x14ac:dyDescent="0.2">
      <c r="D936" s="1"/>
    </row>
    <row r="937" spans="4:4" x14ac:dyDescent="0.2">
      <c r="D937" s="1"/>
    </row>
    <row r="938" spans="4:4" x14ac:dyDescent="0.2">
      <c r="D938" s="1"/>
    </row>
    <row r="939" spans="4:4" x14ac:dyDescent="0.2">
      <c r="D939" s="1"/>
    </row>
    <row r="940" spans="4:4" x14ac:dyDescent="0.2">
      <c r="D940" s="1"/>
    </row>
    <row r="941" spans="4:4" x14ac:dyDescent="0.2">
      <c r="D941" s="1"/>
    </row>
    <row r="942" spans="4:4" x14ac:dyDescent="0.2">
      <c r="D942" s="1"/>
    </row>
    <row r="943" spans="4:4" x14ac:dyDescent="0.2">
      <c r="D943" s="1"/>
    </row>
    <row r="944" spans="4:4" x14ac:dyDescent="0.2">
      <c r="D944" s="1"/>
    </row>
    <row r="945" spans="4:4" x14ac:dyDescent="0.2">
      <c r="D945" s="1"/>
    </row>
    <row r="946" spans="4:4" x14ac:dyDescent="0.2">
      <c r="D946" s="1"/>
    </row>
    <row r="947" spans="4:4" x14ac:dyDescent="0.2">
      <c r="D947" s="1"/>
    </row>
    <row r="948" spans="4:4" x14ac:dyDescent="0.2">
      <c r="D948" s="1"/>
    </row>
    <row r="949" spans="4:4" x14ac:dyDescent="0.2">
      <c r="D949" s="1"/>
    </row>
    <row r="950" spans="4:4" x14ac:dyDescent="0.2">
      <c r="D950" s="1"/>
    </row>
    <row r="951" spans="4:4" x14ac:dyDescent="0.2">
      <c r="D951" s="1"/>
    </row>
    <row r="952" spans="4:4" x14ac:dyDescent="0.2">
      <c r="D952" s="1"/>
    </row>
    <row r="953" spans="4:4" x14ac:dyDescent="0.2">
      <c r="D953" s="1"/>
    </row>
    <row r="954" spans="4:4" x14ac:dyDescent="0.2">
      <c r="D954" s="1"/>
    </row>
    <row r="955" spans="4:4" x14ac:dyDescent="0.2">
      <c r="D955" s="1"/>
    </row>
    <row r="956" spans="4:4" x14ac:dyDescent="0.2">
      <c r="D956" s="1"/>
    </row>
    <row r="957" spans="4:4" x14ac:dyDescent="0.2">
      <c r="D957" s="1"/>
    </row>
    <row r="958" spans="4:4" x14ac:dyDescent="0.2">
      <c r="D958" s="1"/>
    </row>
    <row r="959" spans="4:4" x14ac:dyDescent="0.2">
      <c r="D959" s="1"/>
    </row>
    <row r="960" spans="4:4" x14ac:dyDescent="0.2">
      <c r="D960" s="1"/>
    </row>
    <row r="961" spans="4:4" x14ac:dyDescent="0.2">
      <c r="D961" s="1"/>
    </row>
    <row r="962" spans="4:4" x14ac:dyDescent="0.2">
      <c r="D962" s="1"/>
    </row>
    <row r="963" spans="4:4" x14ac:dyDescent="0.2">
      <c r="D963" s="1"/>
    </row>
    <row r="964" spans="4:4" x14ac:dyDescent="0.2">
      <c r="D964" s="1"/>
    </row>
    <row r="965" spans="4:4" x14ac:dyDescent="0.2">
      <c r="D965" s="1"/>
    </row>
    <row r="966" spans="4:4" x14ac:dyDescent="0.2">
      <c r="D966" s="1"/>
    </row>
    <row r="967" spans="4:4" x14ac:dyDescent="0.2">
      <c r="D967" s="1"/>
    </row>
    <row r="968" spans="4:4" x14ac:dyDescent="0.2">
      <c r="D968" s="1"/>
    </row>
    <row r="969" spans="4:4" x14ac:dyDescent="0.2">
      <c r="D969" s="1"/>
    </row>
    <row r="970" spans="4:4" x14ac:dyDescent="0.2">
      <c r="D970" s="1"/>
    </row>
    <row r="971" spans="4:4" x14ac:dyDescent="0.2">
      <c r="D971" s="1"/>
    </row>
    <row r="973" spans="4:4" x14ac:dyDescent="0.2">
      <c r="D973" s="1"/>
    </row>
    <row r="975" spans="4:4" x14ac:dyDescent="0.2">
      <c r="D975" s="1"/>
    </row>
    <row r="976" spans="4:4" x14ac:dyDescent="0.2">
      <c r="D976" s="1"/>
    </row>
    <row r="977" spans="4:4" x14ac:dyDescent="0.2">
      <c r="D977" s="1"/>
    </row>
    <row r="978" spans="4:4" x14ac:dyDescent="0.2">
      <c r="D978" s="1"/>
    </row>
    <row r="979" spans="4:4" x14ac:dyDescent="0.2">
      <c r="D979" s="1"/>
    </row>
    <row r="980" spans="4:4" x14ac:dyDescent="0.2">
      <c r="D980" s="1"/>
    </row>
    <row r="981" spans="4:4" x14ac:dyDescent="0.2">
      <c r="D981" s="1"/>
    </row>
    <row r="982" spans="4:4" x14ac:dyDescent="0.2">
      <c r="D982" s="1"/>
    </row>
    <row r="983" spans="4:4" x14ac:dyDescent="0.2">
      <c r="D983" s="1"/>
    </row>
    <row r="984" spans="4:4" x14ac:dyDescent="0.2">
      <c r="D984" s="1"/>
    </row>
    <row r="985" spans="4:4" x14ac:dyDescent="0.2">
      <c r="D985" s="1"/>
    </row>
    <row r="986" spans="4:4" x14ac:dyDescent="0.2">
      <c r="D986" s="1"/>
    </row>
    <row r="987" spans="4:4" x14ac:dyDescent="0.2">
      <c r="D987" s="1"/>
    </row>
    <row r="988" spans="4:4" x14ac:dyDescent="0.2">
      <c r="D988" s="1"/>
    </row>
    <row r="989" spans="4:4" x14ac:dyDescent="0.2">
      <c r="D989" s="1"/>
    </row>
    <row r="990" spans="4:4" x14ac:dyDescent="0.2">
      <c r="D990" s="1"/>
    </row>
    <row r="991" spans="4:4" x14ac:dyDescent="0.2">
      <c r="D991" s="1"/>
    </row>
    <row r="992" spans="4:4" x14ac:dyDescent="0.2">
      <c r="D992" s="1"/>
    </row>
    <row r="993" spans="4:4" x14ac:dyDescent="0.2">
      <c r="D993" s="1"/>
    </row>
    <row r="994" spans="4:4" x14ac:dyDescent="0.2">
      <c r="D994" s="1"/>
    </row>
    <row r="995" spans="4:4" x14ac:dyDescent="0.2">
      <c r="D995" s="1"/>
    </row>
    <row r="996" spans="4:4" x14ac:dyDescent="0.2">
      <c r="D996" s="1"/>
    </row>
    <row r="997" spans="4:4" x14ac:dyDescent="0.2">
      <c r="D997" s="1"/>
    </row>
    <row r="998" spans="4:4" x14ac:dyDescent="0.2">
      <c r="D998" s="1"/>
    </row>
    <row r="999" spans="4:4" x14ac:dyDescent="0.2">
      <c r="D999" s="1"/>
    </row>
    <row r="1000" spans="4:4" x14ac:dyDescent="0.2">
      <c r="D1000" s="1"/>
    </row>
    <row r="1001" spans="4:4" x14ac:dyDescent="0.2">
      <c r="D1001" s="1"/>
    </row>
    <row r="1002" spans="4:4" x14ac:dyDescent="0.2">
      <c r="D1002" s="1"/>
    </row>
    <row r="1003" spans="4:4" x14ac:dyDescent="0.2">
      <c r="D1003" s="1"/>
    </row>
    <row r="1004" spans="4:4" x14ac:dyDescent="0.2">
      <c r="D1004" s="1"/>
    </row>
    <row r="1005" spans="4:4" x14ac:dyDescent="0.2">
      <c r="D1005" s="1"/>
    </row>
    <row r="1006" spans="4:4" x14ac:dyDescent="0.2">
      <c r="D1006" s="1"/>
    </row>
    <row r="1007" spans="4:4" x14ac:dyDescent="0.2">
      <c r="D1007" s="1"/>
    </row>
    <row r="1008" spans="4:4" x14ac:dyDescent="0.2">
      <c r="D1008" s="1"/>
    </row>
    <row r="1009" spans="4:4" x14ac:dyDescent="0.2">
      <c r="D1009" s="1"/>
    </row>
    <row r="1010" spans="4:4" x14ac:dyDescent="0.2">
      <c r="D1010" s="1"/>
    </row>
    <row r="1011" spans="4:4" x14ac:dyDescent="0.2">
      <c r="D1011" s="1"/>
    </row>
    <row r="1012" spans="4:4" x14ac:dyDescent="0.2">
      <c r="D1012" s="1"/>
    </row>
    <row r="1013" spans="4:4" x14ac:dyDescent="0.2">
      <c r="D1013" s="1"/>
    </row>
    <row r="1014" spans="4:4" x14ac:dyDescent="0.2">
      <c r="D1014" s="1"/>
    </row>
    <row r="1015" spans="4:4" x14ac:dyDescent="0.2">
      <c r="D1015" s="1"/>
    </row>
    <row r="1016" spans="4:4" x14ac:dyDescent="0.2">
      <c r="D1016" s="1"/>
    </row>
    <row r="1017" spans="4:4" x14ac:dyDescent="0.2">
      <c r="D1017" s="1"/>
    </row>
    <row r="1018" spans="4:4" x14ac:dyDescent="0.2">
      <c r="D1018" s="1"/>
    </row>
    <row r="1019" spans="4:4" x14ac:dyDescent="0.2">
      <c r="D1019" s="1"/>
    </row>
    <row r="1020" spans="4:4" x14ac:dyDescent="0.2">
      <c r="D1020" s="1"/>
    </row>
    <row r="1021" spans="4:4" x14ac:dyDescent="0.2">
      <c r="D1021" s="1"/>
    </row>
    <row r="1022" spans="4:4" x14ac:dyDescent="0.2">
      <c r="D1022" s="1"/>
    </row>
    <row r="1023" spans="4:4" x14ac:dyDescent="0.2">
      <c r="D1023" s="1"/>
    </row>
    <row r="1024" spans="4:4" x14ac:dyDescent="0.2">
      <c r="D1024" s="1"/>
    </row>
    <row r="1025" spans="4:4" x14ac:dyDescent="0.2">
      <c r="D1025" s="1"/>
    </row>
    <row r="1026" spans="4:4" x14ac:dyDescent="0.2">
      <c r="D1026" s="1"/>
    </row>
    <row r="1027" spans="4:4" x14ac:dyDescent="0.2">
      <c r="D1027" s="1"/>
    </row>
    <row r="1028" spans="4:4" x14ac:dyDescent="0.2">
      <c r="D1028" s="1"/>
    </row>
    <row r="1029" spans="4:4" x14ac:dyDescent="0.2">
      <c r="D1029" s="1"/>
    </row>
    <row r="1030" spans="4:4" x14ac:dyDescent="0.2">
      <c r="D1030" s="1"/>
    </row>
    <row r="1031" spans="4:4" x14ac:dyDescent="0.2">
      <c r="D1031" s="1"/>
    </row>
    <row r="1032" spans="4:4" x14ac:dyDescent="0.2">
      <c r="D1032" s="1"/>
    </row>
    <row r="1033" spans="4:4" x14ac:dyDescent="0.2">
      <c r="D1033" s="1"/>
    </row>
    <row r="1034" spans="4:4" x14ac:dyDescent="0.2">
      <c r="D1034" s="1"/>
    </row>
    <row r="1035" spans="4:4" x14ac:dyDescent="0.2">
      <c r="D1035" s="1"/>
    </row>
    <row r="1036" spans="4:4" x14ac:dyDescent="0.2">
      <c r="D1036" s="1"/>
    </row>
    <row r="1037" spans="4:4" x14ac:dyDescent="0.2">
      <c r="D1037" s="1"/>
    </row>
    <row r="1038" spans="4:4" x14ac:dyDescent="0.2">
      <c r="D1038" s="1"/>
    </row>
    <row r="1039" spans="4:4" x14ac:dyDescent="0.2">
      <c r="D1039" s="1"/>
    </row>
    <row r="1040" spans="4:4" x14ac:dyDescent="0.2">
      <c r="D1040" s="1"/>
    </row>
    <row r="1041" spans="4:4" x14ac:dyDescent="0.2">
      <c r="D1041" s="1"/>
    </row>
    <row r="1042" spans="4:4" x14ac:dyDescent="0.2">
      <c r="D1042" s="1"/>
    </row>
    <row r="1043" spans="4:4" x14ac:dyDescent="0.2">
      <c r="D1043" s="1"/>
    </row>
    <row r="1044" spans="4:4" x14ac:dyDescent="0.2">
      <c r="D1044" s="1"/>
    </row>
    <row r="1045" spans="4:4" x14ac:dyDescent="0.2">
      <c r="D1045" s="1"/>
    </row>
    <row r="1046" spans="4:4" x14ac:dyDescent="0.2">
      <c r="D1046" s="1"/>
    </row>
    <row r="1047" spans="4:4" x14ac:dyDescent="0.2">
      <c r="D1047" s="1"/>
    </row>
    <row r="1048" spans="4:4" x14ac:dyDescent="0.2">
      <c r="D1048" s="1"/>
    </row>
    <row r="1049" spans="4:4" x14ac:dyDescent="0.2">
      <c r="D1049" s="1"/>
    </row>
    <row r="1050" spans="4:4" x14ac:dyDescent="0.2">
      <c r="D1050" s="1"/>
    </row>
    <row r="1051" spans="4:4" x14ac:dyDescent="0.2">
      <c r="D1051" s="1"/>
    </row>
    <row r="1052" spans="4:4" x14ac:dyDescent="0.2">
      <c r="D1052" s="1"/>
    </row>
    <row r="1053" spans="4:4" x14ac:dyDescent="0.2">
      <c r="D1053" s="1"/>
    </row>
    <row r="1054" spans="4:4" x14ac:dyDescent="0.2">
      <c r="D1054" s="1"/>
    </row>
    <row r="1055" spans="4:4" x14ac:dyDescent="0.2">
      <c r="D1055" s="1"/>
    </row>
    <row r="1056" spans="4:4" x14ac:dyDescent="0.2">
      <c r="D1056" s="1"/>
    </row>
    <row r="1057" spans="4:4" x14ac:dyDescent="0.2">
      <c r="D1057" s="1"/>
    </row>
    <row r="1058" spans="4:4" x14ac:dyDescent="0.2">
      <c r="D1058" s="1"/>
    </row>
    <row r="1059" spans="4:4" x14ac:dyDescent="0.2">
      <c r="D1059" s="1"/>
    </row>
    <row r="1060" spans="4:4" x14ac:dyDescent="0.2">
      <c r="D1060" s="1"/>
    </row>
    <row r="1061" spans="4:4" x14ac:dyDescent="0.2">
      <c r="D1061" s="1"/>
    </row>
    <row r="1062" spans="4:4" x14ac:dyDescent="0.2">
      <c r="D1062" s="1"/>
    </row>
    <row r="1063" spans="4:4" x14ac:dyDescent="0.2">
      <c r="D1063" s="1"/>
    </row>
    <row r="1064" spans="4:4" x14ac:dyDescent="0.2">
      <c r="D1064" s="1"/>
    </row>
    <row r="1065" spans="4:4" x14ac:dyDescent="0.2">
      <c r="D1065" s="1"/>
    </row>
    <row r="1066" spans="4:4" x14ac:dyDescent="0.2">
      <c r="D1066" s="1"/>
    </row>
    <row r="1067" spans="4:4" x14ac:dyDescent="0.2">
      <c r="D1067" s="1"/>
    </row>
    <row r="1068" spans="4:4" x14ac:dyDescent="0.2">
      <c r="D1068" s="1"/>
    </row>
    <row r="1069" spans="4:4" x14ac:dyDescent="0.2">
      <c r="D1069" s="1"/>
    </row>
    <row r="1070" spans="4:4" x14ac:dyDescent="0.2">
      <c r="D1070" s="1"/>
    </row>
    <row r="1071" spans="4:4" x14ac:dyDescent="0.2">
      <c r="D1071" s="1"/>
    </row>
    <row r="1072" spans="4:4" x14ac:dyDescent="0.2">
      <c r="D1072" s="1"/>
    </row>
    <row r="1073" spans="4:4" x14ac:dyDescent="0.2">
      <c r="D1073" s="1"/>
    </row>
    <row r="1074" spans="4:4" x14ac:dyDescent="0.2">
      <c r="D1074" s="1"/>
    </row>
    <row r="1075" spans="4:4" x14ac:dyDescent="0.2">
      <c r="D1075" s="1"/>
    </row>
    <row r="1076" spans="4:4" x14ac:dyDescent="0.2">
      <c r="D1076" s="1"/>
    </row>
    <row r="1077" spans="4:4" x14ac:dyDescent="0.2">
      <c r="D1077" s="1"/>
    </row>
    <row r="1078" spans="4:4" x14ac:dyDescent="0.2">
      <c r="D1078" s="1"/>
    </row>
    <row r="1079" spans="4:4" x14ac:dyDescent="0.2">
      <c r="D1079" s="1"/>
    </row>
    <row r="1080" spans="4:4" x14ac:dyDescent="0.2">
      <c r="D1080" s="1"/>
    </row>
    <row r="1081" spans="4:4" x14ac:dyDescent="0.2">
      <c r="D1081" s="1"/>
    </row>
    <row r="1082" spans="4:4" x14ac:dyDescent="0.2">
      <c r="D1082" s="1"/>
    </row>
    <row r="1083" spans="4:4" x14ac:dyDescent="0.2">
      <c r="D1083" s="1"/>
    </row>
    <row r="1084" spans="4:4" x14ac:dyDescent="0.2">
      <c r="D1084" s="1"/>
    </row>
    <row r="1085" spans="4:4" x14ac:dyDescent="0.2">
      <c r="D1085" s="1"/>
    </row>
    <row r="1086" spans="4:4" x14ac:dyDescent="0.2">
      <c r="D1086" s="1"/>
    </row>
    <row r="1087" spans="4:4" x14ac:dyDescent="0.2">
      <c r="D1087" s="1"/>
    </row>
    <row r="1088" spans="4:4" x14ac:dyDescent="0.2">
      <c r="D1088" s="1"/>
    </row>
    <row r="1089" spans="4:4" x14ac:dyDescent="0.2">
      <c r="D1089" s="1"/>
    </row>
    <row r="1090" spans="4:4" x14ac:dyDescent="0.2">
      <c r="D1090" s="1"/>
    </row>
    <row r="1091" spans="4:4" x14ac:dyDescent="0.2">
      <c r="D1091" s="1"/>
    </row>
    <row r="1092" spans="4:4" x14ac:dyDescent="0.2">
      <c r="D1092" s="1"/>
    </row>
    <row r="1093" spans="4:4" x14ac:dyDescent="0.2">
      <c r="D1093" s="1"/>
    </row>
    <row r="1094" spans="4:4" x14ac:dyDescent="0.2">
      <c r="D1094" s="1"/>
    </row>
    <row r="1095" spans="4:4" x14ac:dyDescent="0.2">
      <c r="D1095" s="1"/>
    </row>
    <row r="1096" spans="4:4" x14ac:dyDescent="0.2">
      <c r="D1096" s="1"/>
    </row>
    <row r="1097" spans="4:4" x14ac:dyDescent="0.2">
      <c r="D1097" s="1"/>
    </row>
    <row r="1099" spans="4:4" x14ac:dyDescent="0.2">
      <c r="D1099" s="1"/>
    </row>
    <row r="1100" spans="4:4" x14ac:dyDescent="0.2">
      <c r="D1100" s="1"/>
    </row>
    <row r="1101" spans="4:4" x14ac:dyDescent="0.2">
      <c r="D1101" s="1"/>
    </row>
    <row r="1102" spans="4:4" x14ac:dyDescent="0.2">
      <c r="D1102" s="1"/>
    </row>
    <row r="1103" spans="4:4" x14ac:dyDescent="0.2">
      <c r="D1103" s="1"/>
    </row>
    <row r="1104" spans="4:4" x14ac:dyDescent="0.2">
      <c r="D1104" s="1"/>
    </row>
    <row r="1105" spans="4:4" x14ac:dyDescent="0.2">
      <c r="D1105" s="1"/>
    </row>
    <row r="1106" spans="4:4" x14ac:dyDescent="0.2">
      <c r="D1106" s="1"/>
    </row>
    <row r="1107" spans="4:4" x14ac:dyDescent="0.2">
      <c r="D1107" s="1"/>
    </row>
    <row r="1108" spans="4:4" x14ac:dyDescent="0.2">
      <c r="D1108" s="1"/>
    </row>
    <row r="1109" spans="4:4" x14ac:dyDescent="0.2">
      <c r="D1109" s="1"/>
    </row>
    <row r="1110" spans="4:4" x14ac:dyDescent="0.2">
      <c r="D1110" s="1"/>
    </row>
    <row r="1111" spans="4:4" x14ac:dyDescent="0.2">
      <c r="D1111" s="1"/>
    </row>
    <row r="1113" spans="4:4" x14ac:dyDescent="0.2">
      <c r="D1113" s="1"/>
    </row>
    <row r="1114" spans="4:4" x14ac:dyDescent="0.2">
      <c r="D1114" s="1"/>
    </row>
    <row r="1115" spans="4:4" x14ac:dyDescent="0.2">
      <c r="D1115" s="1"/>
    </row>
    <row r="1116" spans="4:4" x14ac:dyDescent="0.2">
      <c r="D1116" s="1"/>
    </row>
    <row r="1117" spans="4:4" x14ac:dyDescent="0.2">
      <c r="D1117" s="1"/>
    </row>
    <row r="1118" spans="4:4" x14ac:dyDescent="0.2">
      <c r="D1118" s="1"/>
    </row>
    <row r="1119" spans="4:4" x14ac:dyDescent="0.2">
      <c r="D1119" s="1"/>
    </row>
    <row r="1120" spans="4:4" x14ac:dyDescent="0.2">
      <c r="D1120" s="1"/>
    </row>
    <row r="1121" spans="4:4" x14ac:dyDescent="0.2">
      <c r="D1121" s="1"/>
    </row>
    <row r="1125" spans="4:4" x14ac:dyDescent="0.2">
      <c r="D1125" s="1"/>
    </row>
    <row r="1127" spans="4:4" x14ac:dyDescent="0.2">
      <c r="D1127" s="1"/>
    </row>
    <row r="1129" spans="4:4" x14ac:dyDescent="0.2">
      <c r="D1129" s="1"/>
    </row>
    <row r="1130" spans="4:4" x14ac:dyDescent="0.2">
      <c r="D1130" s="1"/>
    </row>
    <row r="1131" spans="4:4" x14ac:dyDescent="0.2">
      <c r="D1131" s="1"/>
    </row>
    <row r="1133" spans="4:4" x14ac:dyDescent="0.2">
      <c r="D1133" s="1"/>
    </row>
    <row r="1134" spans="4:4" x14ac:dyDescent="0.2">
      <c r="D1134" s="1"/>
    </row>
    <row r="1135" spans="4:4" x14ac:dyDescent="0.2">
      <c r="D1135" s="1"/>
    </row>
    <row r="1138" spans="4:4" x14ac:dyDescent="0.2">
      <c r="D1138" s="1"/>
    </row>
    <row r="1139" spans="4:4" x14ac:dyDescent="0.2">
      <c r="D1139" s="1"/>
    </row>
    <row r="1142" spans="4:4" x14ac:dyDescent="0.2">
      <c r="D1142" s="1"/>
    </row>
    <row r="1151" spans="4:4" x14ac:dyDescent="0.2">
      <c r="D1151" s="1"/>
    </row>
    <row r="1153" spans="4:4" x14ac:dyDescent="0.2">
      <c r="D1153" s="1"/>
    </row>
    <row r="1418" spans="4:4" x14ac:dyDescent="0.2">
      <c r="D1418" s="1"/>
    </row>
    <row r="1421" spans="4:4" x14ac:dyDescent="0.2">
      <c r="D1421" s="1"/>
    </row>
    <row r="1422" spans="4:4" x14ac:dyDescent="0.2">
      <c r="D1422" s="1"/>
    </row>
    <row r="1423" spans="4:4" x14ac:dyDescent="0.2">
      <c r="D1423" s="1"/>
    </row>
    <row r="1425" spans="4:4" x14ac:dyDescent="0.2">
      <c r="D1425" s="1"/>
    </row>
    <row r="1432" spans="4:4" x14ac:dyDescent="0.2">
      <c r="D1432" s="1"/>
    </row>
    <row r="1438" spans="4:4" x14ac:dyDescent="0.2">
      <c r="D1438" s="1"/>
    </row>
    <row r="1446" spans="4:4" x14ac:dyDescent="0.2">
      <c r="D1446" s="1"/>
    </row>
    <row r="1451" spans="4:4" x14ac:dyDescent="0.2">
      <c r="D1451" s="1"/>
    </row>
    <row r="1452" spans="4:4" x14ac:dyDescent="0.2">
      <c r="D1452" s="1"/>
    </row>
    <row r="1460" spans="4:4" x14ac:dyDescent="0.2">
      <c r="D1460" s="1"/>
    </row>
    <row r="1461" spans="4:4" x14ac:dyDescent="0.2">
      <c r="D1461" s="1"/>
    </row>
    <row r="1463" spans="4:4" x14ac:dyDescent="0.2">
      <c r="D1463" s="1"/>
    </row>
    <row r="1464" spans="4:4" x14ac:dyDescent="0.2">
      <c r="D1464" s="1"/>
    </row>
    <row r="1465" spans="4:4" x14ac:dyDescent="0.2">
      <c r="D1465" s="1"/>
    </row>
    <row r="1467" spans="4:4" x14ac:dyDescent="0.2">
      <c r="D1467" s="1"/>
    </row>
    <row r="1469" spans="4:4" x14ac:dyDescent="0.2">
      <c r="D1469" s="1"/>
    </row>
    <row r="1470" spans="4:4" x14ac:dyDescent="0.2">
      <c r="D1470" s="1"/>
    </row>
    <row r="1471" spans="4:4" x14ac:dyDescent="0.2">
      <c r="D1471" s="1"/>
    </row>
    <row r="1472" spans="4:4" x14ac:dyDescent="0.2">
      <c r="D1472" s="1"/>
    </row>
    <row r="1473" spans="4:4" x14ac:dyDescent="0.2">
      <c r="D1473" s="1"/>
    </row>
    <row r="1474" spans="4:4" x14ac:dyDescent="0.2">
      <c r="D1474" s="1"/>
    </row>
    <row r="1476" spans="4:4" x14ac:dyDescent="0.2">
      <c r="D1476" s="1"/>
    </row>
    <row r="1477" spans="4:4" x14ac:dyDescent="0.2">
      <c r="D1477" s="1"/>
    </row>
    <row r="1479" spans="4:4" x14ac:dyDescent="0.2">
      <c r="D1479" s="1"/>
    </row>
    <row r="1480" spans="4:4" x14ac:dyDescent="0.2">
      <c r="D1480" s="1"/>
    </row>
    <row r="1481" spans="4:4" x14ac:dyDescent="0.2">
      <c r="D1481" s="1"/>
    </row>
    <row r="1482" spans="4:4" x14ac:dyDescent="0.2">
      <c r="D1482" s="1"/>
    </row>
    <row r="1483" spans="4:4" x14ac:dyDescent="0.2">
      <c r="D1483" s="1"/>
    </row>
    <row r="1484" spans="4:4" x14ac:dyDescent="0.2">
      <c r="D1484" s="1"/>
    </row>
    <row r="1485" spans="4:4" x14ac:dyDescent="0.2">
      <c r="D1485" s="1"/>
    </row>
    <row r="1486" spans="4:4" x14ac:dyDescent="0.2">
      <c r="D1486" s="1"/>
    </row>
    <row r="1487" spans="4:4" x14ac:dyDescent="0.2">
      <c r="D1487" s="1"/>
    </row>
    <row r="1488" spans="4:4" x14ac:dyDescent="0.2">
      <c r="D1488" s="1"/>
    </row>
    <row r="1489" spans="4:4" x14ac:dyDescent="0.2">
      <c r="D1489" s="1"/>
    </row>
    <row r="1490" spans="4:4" x14ac:dyDescent="0.2">
      <c r="D1490" s="1"/>
    </row>
    <row r="1491" spans="4:4" x14ac:dyDescent="0.2">
      <c r="D1491" s="1"/>
    </row>
    <row r="1492" spans="4:4" x14ac:dyDescent="0.2">
      <c r="D1492" s="1"/>
    </row>
    <row r="1493" spans="4:4" x14ac:dyDescent="0.2">
      <c r="D1493" s="1"/>
    </row>
    <row r="1494" spans="4:4" x14ac:dyDescent="0.2">
      <c r="D1494" s="1"/>
    </row>
    <row r="1495" spans="4:4" x14ac:dyDescent="0.2">
      <c r="D1495" s="1"/>
    </row>
    <row r="1496" spans="4:4" x14ac:dyDescent="0.2">
      <c r="D1496" s="1"/>
    </row>
    <row r="1497" spans="4:4" x14ac:dyDescent="0.2">
      <c r="D1497" s="1"/>
    </row>
    <row r="1498" spans="4:4" x14ac:dyDescent="0.2">
      <c r="D1498" s="1"/>
    </row>
    <row r="1499" spans="4:4" x14ac:dyDescent="0.2">
      <c r="D1499" s="1"/>
    </row>
    <row r="1500" spans="4:4" x14ac:dyDescent="0.2">
      <c r="D1500" s="1"/>
    </row>
    <row r="1501" spans="4:4" x14ac:dyDescent="0.2">
      <c r="D1501" s="1"/>
    </row>
    <row r="1502" spans="4:4" x14ac:dyDescent="0.2">
      <c r="D1502" s="1"/>
    </row>
    <row r="1503" spans="4:4" x14ac:dyDescent="0.2">
      <c r="D1503" s="1"/>
    </row>
    <row r="1504" spans="4:4" x14ac:dyDescent="0.2">
      <c r="D1504" s="1"/>
    </row>
    <row r="1505" spans="4:4" x14ac:dyDescent="0.2">
      <c r="D1505" s="1"/>
    </row>
    <row r="1506" spans="4:4" x14ac:dyDescent="0.2">
      <c r="D1506" s="1"/>
    </row>
    <row r="1507" spans="4:4" x14ac:dyDescent="0.2">
      <c r="D1507" s="1"/>
    </row>
    <row r="1508" spans="4:4" x14ac:dyDescent="0.2">
      <c r="D1508" s="1"/>
    </row>
    <row r="1509" spans="4:4" x14ac:dyDescent="0.2">
      <c r="D1509" s="1"/>
    </row>
    <row r="1510" spans="4:4" x14ac:dyDescent="0.2">
      <c r="D1510" s="1"/>
    </row>
    <row r="1511" spans="4:4" x14ac:dyDescent="0.2">
      <c r="D1511" s="1"/>
    </row>
    <row r="1512" spans="4:4" x14ac:dyDescent="0.2">
      <c r="D1512" s="1"/>
    </row>
    <row r="1513" spans="4:4" x14ac:dyDescent="0.2">
      <c r="D1513" s="1"/>
    </row>
    <row r="1514" spans="4:4" x14ac:dyDescent="0.2">
      <c r="D1514" s="1"/>
    </row>
    <row r="1515" spans="4:4" x14ac:dyDescent="0.2">
      <c r="D1515" s="1"/>
    </row>
    <row r="1516" spans="4:4" x14ac:dyDescent="0.2">
      <c r="D1516" s="1"/>
    </row>
    <row r="1517" spans="4:4" x14ac:dyDescent="0.2">
      <c r="D1517" s="1"/>
    </row>
    <row r="1518" spans="4:4" x14ac:dyDescent="0.2">
      <c r="D1518" s="1"/>
    </row>
    <row r="1519" spans="4:4" x14ac:dyDescent="0.2">
      <c r="D1519" s="1"/>
    </row>
    <row r="1520" spans="4:4" x14ac:dyDescent="0.2">
      <c r="D1520" s="1"/>
    </row>
    <row r="1521" spans="4:4" x14ac:dyDescent="0.2">
      <c r="D1521" s="1"/>
    </row>
    <row r="1522" spans="4:4" x14ac:dyDescent="0.2">
      <c r="D1522" s="1"/>
    </row>
    <row r="1523" spans="4:4" x14ac:dyDescent="0.2">
      <c r="D1523" s="1"/>
    </row>
    <row r="1524" spans="4:4" x14ac:dyDescent="0.2">
      <c r="D1524" s="1"/>
    </row>
    <row r="1525" spans="4:4" x14ac:dyDescent="0.2">
      <c r="D1525" s="1"/>
    </row>
    <row r="1526" spans="4:4" x14ac:dyDescent="0.2">
      <c r="D1526" s="1"/>
    </row>
    <row r="1527" spans="4:4" x14ac:dyDescent="0.2">
      <c r="D1527" s="1"/>
    </row>
    <row r="1528" spans="4:4" x14ac:dyDescent="0.2">
      <c r="D1528" s="1"/>
    </row>
    <row r="1529" spans="4:4" x14ac:dyDescent="0.2">
      <c r="D1529" s="1"/>
    </row>
    <row r="1530" spans="4:4" x14ac:dyDescent="0.2">
      <c r="D1530" s="1"/>
    </row>
    <row r="1531" spans="4:4" x14ac:dyDescent="0.2">
      <c r="D1531" s="1"/>
    </row>
    <row r="1532" spans="4:4" x14ac:dyDescent="0.2">
      <c r="D1532" s="1"/>
    </row>
    <row r="1533" spans="4:4" x14ac:dyDescent="0.2">
      <c r="D1533" s="1"/>
    </row>
    <row r="1534" spans="4:4" x14ac:dyDescent="0.2">
      <c r="D1534" s="1"/>
    </row>
    <row r="1535" spans="4:4" x14ac:dyDescent="0.2">
      <c r="D1535" s="1"/>
    </row>
    <row r="1536" spans="4:4" x14ac:dyDescent="0.2">
      <c r="D1536" s="1"/>
    </row>
    <row r="1537" spans="4:4" x14ac:dyDescent="0.2">
      <c r="D1537" s="1"/>
    </row>
    <row r="1538" spans="4:4" x14ac:dyDescent="0.2">
      <c r="D1538" s="1"/>
    </row>
    <row r="1539" spans="4:4" x14ac:dyDescent="0.2">
      <c r="D1539" s="1"/>
    </row>
    <row r="1540" spans="4:4" x14ac:dyDescent="0.2">
      <c r="D1540" s="1"/>
    </row>
    <row r="1541" spans="4:4" x14ac:dyDescent="0.2">
      <c r="D1541" s="1"/>
    </row>
    <row r="1542" spans="4:4" x14ac:dyDescent="0.2">
      <c r="D1542" s="1"/>
    </row>
    <row r="1543" spans="4:4" x14ac:dyDescent="0.2">
      <c r="D1543" s="1"/>
    </row>
    <row r="1544" spans="4:4" x14ac:dyDescent="0.2">
      <c r="D1544" s="1"/>
    </row>
    <row r="1545" spans="4:4" x14ac:dyDescent="0.2">
      <c r="D1545" s="1"/>
    </row>
    <row r="1546" spans="4:4" x14ac:dyDescent="0.2">
      <c r="D1546" s="1"/>
    </row>
    <row r="1547" spans="4:4" x14ac:dyDescent="0.2">
      <c r="D1547" s="1"/>
    </row>
    <row r="1548" spans="4:4" x14ac:dyDescent="0.2">
      <c r="D1548" s="1"/>
    </row>
    <row r="1549" spans="4:4" x14ac:dyDescent="0.2">
      <c r="D1549" s="1"/>
    </row>
    <row r="1550" spans="4:4" x14ac:dyDescent="0.2">
      <c r="D1550" s="1"/>
    </row>
    <row r="1551" spans="4:4" x14ac:dyDescent="0.2">
      <c r="D1551" s="1"/>
    </row>
    <row r="1552" spans="4:4" x14ac:dyDescent="0.2">
      <c r="D1552" s="1"/>
    </row>
    <row r="1553" spans="4:4" x14ac:dyDescent="0.2">
      <c r="D1553" s="1"/>
    </row>
    <row r="1554" spans="4:4" x14ac:dyDescent="0.2">
      <c r="D1554" s="1"/>
    </row>
    <row r="1555" spans="4:4" x14ac:dyDescent="0.2">
      <c r="D1555" s="1"/>
    </row>
    <row r="1556" spans="4:4" x14ac:dyDescent="0.2">
      <c r="D1556" s="1"/>
    </row>
    <row r="1557" spans="4:4" x14ac:dyDescent="0.2">
      <c r="D1557" s="1"/>
    </row>
    <row r="1558" spans="4:4" x14ac:dyDescent="0.2">
      <c r="D1558" s="1"/>
    </row>
    <row r="1559" spans="4:4" x14ac:dyDescent="0.2">
      <c r="D1559" s="1"/>
    </row>
    <row r="1560" spans="4:4" x14ac:dyDescent="0.2">
      <c r="D1560" s="1"/>
    </row>
    <row r="1561" spans="4:4" x14ac:dyDescent="0.2">
      <c r="D1561" s="1"/>
    </row>
    <row r="1562" spans="4:4" x14ac:dyDescent="0.2">
      <c r="D1562" s="1"/>
    </row>
    <row r="1563" spans="4:4" x14ac:dyDescent="0.2">
      <c r="D1563" s="1"/>
    </row>
    <row r="1564" spans="4:4" x14ac:dyDescent="0.2">
      <c r="D1564" s="1"/>
    </row>
    <row r="1565" spans="4:4" x14ac:dyDescent="0.2">
      <c r="D1565" s="1"/>
    </row>
    <row r="1566" spans="4:4" x14ac:dyDescent="0.2">
      <c r="D1566" s="1"/>
    </row>
    <row r="1567" spans="4:4" x14ac:dyDescent="0.2">
      <c r="D1567" s="1"/>
    </row>
    <row r="1568" spans="4:4" x14ac:dyDescent="0.2">
      <c r="D1568" s="1"/>
    </row>
    <row r="1569" spans="4:4" x14ac:dyDescent="0.2">
      <c r="D1569" s="1"/>
    </row>
    <row r="1570" spans="4:4" x14ac:dyDescent="0.2">
      <c r="D1570" s="1"/>
    </row>
    <row r="1571" spans="4:4" x14ac:dyDescent="0.2">
      <c r="D1571" s="1"/>
    </row>
    <row r="1572" spans="4:4" x14ac:dyDescent="0.2">
      <c r="D1572" s="1"/>
    </row>
    <row r="1573" spans="4:4" x14ac:dyDescent="0.2">
      <c r="D1573" s="1"/>
    </row>
    <row r="1574" spans="4:4" x14ac:dyDescent="0.2">
      <c r="D1574" s="1"/>
    </row>
    <row r="1575" spans="4:4" x14ac:dyDescent="0.2">
      <c r="D1575" s="1"/>
    </row>
    <row r="1576" spans="4:4" x14ac:dyDescent="0.2">
      <c r="D1576" s="1"/>
    </row>
    <row r="1577" spans="4:4" x14ac:dyDescent="0.2">
      <c r="D1577" s="1"/>
    </row>
    <row r="1578" spans="4:4" x14ac:dyDescent="0.2">
      <c r="D1578" s="1"/>
    </row>
    <row r="1579" spans="4:4" x14ac:dyDescent="0.2">
      <c r="D1579" s="1"/>
    </row>
    <row r="1580" spans="4:4" x14ac:dyDescent="0.2">
      <c r="D1580" s="1"/>
    </row>
    <row r="1581" spans="4:4" x14ac:dyDescent="0.2">
      <c r="D1581" s="1"/>
    </row>
    <row r="1582" spans="4:4" x14ac:dyDescent="0.2">
      <c r="D1582" s="1"/>
    </row>
    <row r="1583" spans="4:4" x14ac:dyDescent="0.2">
      <c r="D1583" s="1"/>
    </row>
    <row r="1584" spans="4:4" x14ac:dyDescent="0.2">
      <c r="D1584" s="1"/>
    </row>
    <row r="1585" spans="4:4" x14ac:dyDescent="0.2">
      <c r="D1585" s="1"/>
    </row>
    <row r="1586" spans="4:4" x14ac:dyDescent="0.2">
      <c r="D1586" s="1"/>
    </row>
    <row r="1587" spans="4:4" x14ac:dyDescent="0.2">
      <c r="D1587" s="1"/>
    </row>
    <row r="1588" spans="4:4" x14ac:dyDescent="0.2">
      <c r="D1588" s="1"/>
    </row>
    <row r="1589" spans="4:4" x14ac:dyDescent="0.2">
      <c r="D1589" s="1"/>
    </row>
    <row r="1590" spans="4:4" x14ac:dyDescent="0.2">
      <c r="D1590" s="1"/>
    </row>
    <row r="1591" spans="4:4" x14ac:dyDescent="0.2">
      <c r="D1591" s="1"/>
    </row>
    <row r="1592" spans="4:4" x14ac:dyDescent="0.2">
      <c r="D1592" s="1"/>
    </row>
    <row r="1593" spans="4:4" x14ac:dyDescent="0.2">
      <c r="D1593" s="1"/>
    </row>
    <row r="1594" spans="4:4" x14ac:dyDescent="0.2">
      <c r="D1594" s="1"/>
    </row>
    <row r="1595" spans="4:4" x14ac:dyDescent="0.2">
      <c r="D1595" s="1"/>
    </row>
    <row r="1596" spans="4:4" x14ac:dyDescent="0.2">
      <c r="D1596" s="1"/>
    </row>
    <row r="1597" spans="4:4" x14ac:dyDescent="0.2">
      <c r="D1597" s="1"/>
    </row>
    <row r="1598" spans="4:4" x14ac:dyDescent="0.2">
      <c r="D1598" s="1"/>
    </row>
    <row r="1599" spans="4:4" x14ac:dyDescent="0.2">
      <c r="D1599" s="1"/>
    </row>
    <row r="1600" spans="4:4" x14ac:dyDescent="0.2">
      <c r="D1600" s="1"/>
    </row>
    <row r="1601" spans="4:4" x14ac:dyDescent="0.2">
      <c r="D1601" s="1"/>
    </row>
    <row r="1602" spans="4:4" x14ac:dyDescent="0.2">
      <c r="D1602" s="1"/>
    </row>
    <row r="1603" spans="4:4" x14ac:dyDescent="0.2">
      <c r="D1603" s="1"/>
    </row>
    <row r="1604" spans="4:4" x14ac:dyDescent="0.2">
      <c r="D1604" s="1"/>
    </row>
    <row r="1605" spans="4:4" x14ac:dyDescent="0.2">
      <c r="D1605" s="1"/>
    </row>
    <row r="1606" spans="4:4" x14ac:dyDescent="0.2">
      <c r="D1606" s="1"/>
    </row>
    <row r="1610" spans="4:4" x14ac:dyDescent="0.2">
      <c r="D1610" s="1"/>
    </row>
    <row r="1611" spans="4:4" x14ac:dyDescent="0.2">
      <c r="D1611" s="1"/>
    </row>
    <row r="1612" spans="4:4" x14ac:dyDescent="0.2">
      <c r="D1612" s="1"/>
    </row>
    <row r="1613" spans="4:4" x14ac:dyDescent="0.2">
      <c r="D1613" s="1"/>
    </row>
    <row r="1614" spans="4:4" x14ac:dyDescent="0.2">
      <c r="D1614" s="1"/>
    </row>
    <row r="1615" spans="4:4" x14ac:dyDescent="0.2">
      <c r="D1615" s="1"/>
    </row>
    <row r="1616" spans="4:4" x14ac:dyDescent="0.2">
      <c r="D1616" s="1"/>
    </row>
    <row r="1617" spans="4:4" x14ac:dyDescent="0.2">
      <c r="D1617" s="1"/>
    </row>
    <row r="1618" spans="4:4" x14ac:dyDescent="0.2">
      <c r="D1618" s="1"/>
    </row>
    <row r="1619" spans="4:4" x14ac:dyDescent="0.2">
      <c r="D1619" s="1"/>
    </row>
    <row r="1620" spans="4:4" x14ac:dyDescent="0.2">
      <c r="D1620" s="1"/>
    </row>
    <row r="1621" spans="4:4" x14ac:dyDescent="0.2">
      <c r="D1621" s="1"/>
    </row>
    <row r="1622" spans="4:4" x14ac:dyDescent="0.2">
      <c r="D1622" s="1"/>
    </row>
    <row r="1623" spans="4:4" x14ac:dyDescent="0.2">
      <c r="D1623" s="1"/>
    </row>
    <row r="1624" spans="4:4" x14ac:dyDescent="0.2">
      <c r="D1624" s="1"/>
    </row>
    <row r="1625" spans="4:4" x14ac:dyDescent="0.2">
      <c r="D1625" s="1"/>
    </row>
    <row r="1626" spans="4:4" x14ac:dyDescent="0.2">
      <c r="D1626" s="1"/>
    </row>
    <row r="1627" spans="4:4" x14ac:dyDescent="0.2">
      <c r="D1627" s="1"/>
    </row>
    <row r="1628" spans="4:4" x14ac:dyDescent="0.2">
      <c r="D1628" s="1"/>
    </row>
    <row r="1629" spans="4:4" x14ac:dyDescent="0.2">
      <c r="D1629" s="1"/>
    </row>
    <row r="1630" spans="4:4" x14ac:dyDescent="0.2">
      <c r="D1630" s="1"/>
    </row>
    <row r="1631" spans="4:4" x14ac:dyDescent="0.2">
      <c r="D1631" s="1"/>
    </row>
    <row r="1632" spans="4:4" x14ac:dyDescent="0.2">
      <c r="D1632" s="1"/>
    </row>
    <row r="1633" spans="4:4" x14ac:dyDescent="0.2">
      <c r="D1633" s="1"/>
    </row>
    <row r="1634" spans="4:4" x14ac:dyDescent="0.2">
      <c r="D1634" s="1"/>
    </row>
    <row r="1635" spans="4:4" x14ac:dyDescent="0.2">
      <c r="D1635" s="1"/>
    </row>
    <row r="1636" spans="4:4" x14ac:dyDescent="0.2">
      <c r="D1636" s="1"/>
    </row>
    <row r="1637" spans="4:4" x14ac:dyDescent="0.2">
      <c r="D1637" s="1"/>
    </row>
    <row r="1638" spans="4:4" x14ac:dyDescent="0.2">
      <c r="D1638" s="1"/>
    </row>
    <row r="1639" spans="4:4" x14ac:dyDescent="0.2">
      <c r="D1639" s="1"/>
    </row>
    <row r="1640" spans="4:4" x14ac:dyDescent="0.2">
      <c r="D1640" s="1"/>
    </row>
    <row r="1641" spans="4:4" x14ac:dyDescent="0.2">
      <c r="D1641" s="1"/>
    </row>
    <row r="1642" spans="4:4" x14ac:dyDescent="0.2">
      <c r="D1642" s="1"/>
    </row>
    <row r="1643" spans="4:4" x14ac:dyDescent="0.2">
      <c r="D1643" s="1"/>
    </row>
    <row r="1644" spans="4:4" x14ac:dyDescent="0.2">
      <c r="D1644" s="1"/>
    </row>
    <row r="1645" spans="4:4" x14ac:dyDescent="0.2">
      <c r="D1645" s="1"/>
    </row>
    <row r="1646" spans="4:4" x14ac:dyDescent="0.2">
      <c r="D1646" s="1"/>
    </row>
    <row r="1647" spans="4:4" x14ac:dyDescent="0.2">
      <c r="D1647" s="1"/>
    </row>
    <row r="1648" spans="4:4" x14ac:dyDescent="0.2">
      <c r="D1648" s="1"/>
    </row>
    <row r="1649" spans="4:4" x14ac:dyDescent="0.2">
      <c r="D1649" s="1"/>
    </row>
    <row r="1650" spans="4:4" x14ac:dyDescent="0.2">
      <c r="D1650" s="1"/>
    </row>
    <row r="1651" spans="4:4" x14ac:dyDescent="0.2">
      <c r="D1651" s="1"/>
    </row>
    <row r="1652" spans="4:4" x14ac:dyDescent="0.2">
      <c r="D1652" s="1"/>
    </row>
    <row r="1653" spans="4:4" x14ac:dyDescent="0.2">
      <c r="D1653" s="1"/>
    </row>
    <row r="1654" spans="4:4" x14ac:dyDescent="0.2">
      <c r="D1654" s="1"/>
    </row>
    <row r="1655" spans="4:4" x14ac:dyDescent="0.2">
      <c r="D1655" s="1"/>
    </row>
    <row r="1656" spans="4:4" x14ac:dyDescent="0.2">
      <c r="D1656" s="1"/>
    </row>
    <row r="1657" spans="4:4" x14ac:dyDescent="0.2">
      <c r="D1657" s="1"/>
    </row>
    <row r="1658" spans="4:4" x14ac:dyDescent="0.2">
      <c r="D1658" s="1"/>
    </row>
    <row r="1659" spans="4:4" x14ac:dyDescent="0.2">
      <c r="D1659" s="1"/>
    </row>
    <row r="1660" spans="4:4" x14ac:dyDescent="0.2">
      <c r="D1660" s="1"/>
    </row>
    <row r="1661" spans="4:4" x14ac:dyDescent="0.2">
      <c r="D1661" s="1"/>
    </row>
    <row r="1662" spans="4:4" x14ac:dyDescent="0.2">
      <c r="D1662" s="1"/>
    </row>
    <row r="1663" spans="4:4" x14ac:dyDescent="0.2">
      <c r="D1663" s="1"/>
    </row>
    <row r="1664" spans="4:4" x14ac:dyDescent="0.2">
      <c r="D1664" s="1"/>
    </row>
    <row r="1665" spans="4:4" x14ac:dyDescent="0.2">
      <c r="D1665" s="1"/>
    </row>
    <row r="1666" spans="4:4" x14ac:dyDescent="0.2">
      <c r="D1666" s="1"/>
    </row>
    <row r="1667" spans="4:4" x14ac:dyDescent="0.2">
      <c r="D1667" s="1"/>
    </row>
    <row r="1668" spans="4:4" x14ac:dyDescent="0.2">
      <c r="D1668" s="1"/>
    </row>
    <row r="1669" spans="4:4" x14ac:dyDescent="0.2">
      <c r="D1669" s="1"/>
    </row>
    <row r="1670" spans="4:4" x14ac:dyDescent="0.2">
      <c r="D1670" s="1"/>
    </row>
    <row r="1671" spans="4:4" x14ac:dyDescent="0.2">
      <c r="D1671" s="1"/>
    </row>
    <row r="1672" spans="4:4" x14ac:dyDescent="0.2">
      <c r="D1672" s="1"/>
    </row>
    <row r="1673" spans="4:4" x14ac:dyDescent="0.2">
      <c r="D1673" s="1"/>
    </row>
    <row r="1674" spans="4:4" x14ac:dyDescent="0.2">
      <c r="D1674" s="1"/>
    </row>
    <row r="1675" spans="4:4" x14ac:dyDescent="0.2">
      <c r="D1675" s="1"/>
    </row>
    <row r="1676" spans="4:4" x14ac:dyDescent="0.2">
      <c r="D1676" s="1"/>
    </row>
    <row r="1677" spans="4:4" x14ac:dyDescent="0.2">
      <c r="D1677" s="1"/>
    </row>
    <row r="1678" spans="4:4" x14ac:dyDescent="0.2">
      <c r="D1678" s="1"/>
    </row>
    <row r="1679" spans="4:4" x14ac:dyDescent="0.2">
      <c r="D1679" s="1"/>
    </row>
    <row r="1680" spans="4:4" x14ac:dyDescent="0.2">
      <c r="D1680" s="1"/>
    </row>
    <row r="1681" spans="4:4" x14ac:dyDescent="0.2">
      <c r="D1681" s="1"/>
    </row>
    <row r="1682" spans="4:4" x14ac:dyDescent="0.2">
      <c r="D1682" s="1"/>
    </row>
    <row r="1683" spans="4:4" x14ac:dyDescent="0.2">
      <c r="D1683" s="1"/>
    </row>
    <row r="1684" spans="4:4" x14ac:dyDescent="0.2">
      <c r="D1684" s="1"/>
    </row>
    <row r="1685" spans="4:4" x14ac:dyDescent="0.2">
      <c r="D1685" s="1"/>
    </row>
    <row r="1686" spans="4:4" x14ac:dyDescent="0.2">
      <c r="D1686" s="1"/>
    </row>
    <row r="1687" spans="4:4" x14ac:dyDescent="0.2">
      <c r="D1687" s="1"/>
    </row>
    <row r="1688" spans="4:4" x14ac:dyDescent="0.2">
      <c r="D1688" s="1"/>
    </row>
    <row r="1689" spans="4:4" x14ac:dyDescent="0.2">
      <c r="D1689" s="1"/>
    </row>
    <row r="1690" spans="4:4" x14ac:dyDescent="0.2">
      <c r="D1690" s="1"/>
    </row>
    <row r="1691" spans="4:4" x14ac:dyDescent="0.2">
      <c r="D1691" s="1"/>
    </row>
    <row r="1692" spans="4:4" x14ac:dyDescent="0.2">
      <c r="D1692" s="1"/>
    </row>
    <row r="1693" spans="4:4" x14ac:dyDescent="0.2">
      <c r="D1693" s="1"/>
    </row>
    <row r="1694" spans="4:4" x14ac:dyDescent="0.2">
      <c r="D1694" s="1"/>
    </row>
    <row r="1695" spans="4:4" x14ac:dyDescent="0.2">
      <c r="D1695" s="1"/>
    </row>
    <row r="1696" spans="4:4" x14ac:dyDescent="0.2">
      <c r="D1696" s="1"/>
    </row>
    <row r="1697" spans="4:4" x14ac:dyDescent="0.2">
      <c r="D1697" s="1"/>
    </row>
    <row r="1698" spans="4:4" x14ac:dyDescent="0.2">
      <c r="D1698" s="1"/>
    </row>
    <row r="1699" spans="4:4" x14ac:dyDescent="0.2">
      <c r="D1699" s="1"/>
    </row>
    <row r="1700" spans="4:4" x14ac:dyDescent="0.2">
      <c r="D1700" s="1"/>
    </row>
    <row r="1701" spans="4:4" x14ac:dyDescent="0.2">
      <c r="D1701" s="1"/>
    </row>
    <row r="1702" spans="4:4" x14ac:dyDescent="0.2">
      <c r="D1702" s="1"/>
    </row>
    <row r="1703" spans="4:4" x14ac:dyDescent="0.2">
      <c r="D1703" s="1"/>
    </row>
    <row r="1704" spans="4:4" x14ac:dyDescent="0.2">
      <c r="D1704" s="1"/>
    </row>
    <row r="1705" spans="4:4" x14ac:dyDescent="0.2">
      <c r="D1705" s="1"/>
    </row>
    <row r="1706" spans="4:4" x14ac:dyDescent="0.2">
      <c r="D1706" s="1"/>
    </row>
    <row r="1707" spans="4:4" x14ac:dyDescent="0.2">
      <c r="D1707" s="1"/>
    </row>
    <row r="1708" spans="4:4" x14ac:dyDescent="0.2">
      <c r="D1708" s="1"/>
    </row>
    <row r="1709" spans="4:4" x14ac:dyDescent="0.2">
      <c r="D1709" s="1"/>
    </row>
    <row r="1710" spans="4:4" x14ac:dyDescent="0.2">
      <c r="D1710" s="1"/>
    </row>
    <row r="1711" spans="4:4" x14ac:dyDescent="0.2">
      <c r="D1711" s="1"/>
    </row>
    <row r="1712" spans="4:4" x14ac:dyDescent="0.2">
      <c r="D1712" s="1"/>
    </row>
    <row r="1713" spans="4:4" x14ac:dyDescent="0.2">
      <c r="D1713" s="1"/>
    </row>
    <row r="1714" spans="4:4" x14ac:dyDescent="0.2">
      <c r="D1714" s="1"/>
    </row>
    <row r="1715" spans="4:4" x14ac:dyDescent="0.2">
      <c r="D1715" s="1"/>
    </row>
    <row r="1716" spans="4:4" x14ac:dyDescent="0.2">
      <c r="D1716" s="1"/>
    </row>
    <row r="1717" spans="4:4" x14ac:dyDescent="0.2">
      <c r="D1717" s="1"/>
    </row>
    <row r="1718" spans="4:4" x14ac:dyDescent="0.2">
      <c r="D1718" s="1"/>
    </row>
    <row r="1719" spans="4:4" x14ac:dyDescent="0.2">
      <c r="D1719" s="1"/>
    </row>
    <row r="1720" spans="4:4" x14ac:dyDescent="0.2">
      <c r="D1720" s="1"/>
    </row>
    <row r="1721" spans="4:4" x14ac:dyDescent="0.2">
      <c r="D1721" s="1"/>
    </row>
    <row r="1722" spans="4:4" x14ac:dyDescent="0.2">
      <c r="D1722" s="1"/>
    </row>
    <row r="1723" spans="4:4" x14ac:dyDescent="0.2">
      <c r="D1723" s="1"/>
    </row>
    <row r="1724" spans="4:4" x14ac:dyDescent="0.2">
      <c r="D1724" s="1"/>
    </row>
    <row r="1725" spans="4:4" x14ac:dyDescent="0.2">
      <c r="D1725" s="1"/>
    </row>
    <row r="1726" spans="4:4" x14ac:dyDescent="0.2">
      <c r="D1726" s="1"/>
    </row>
    <row r="1727" spans="4:4" x14ac:dyDescent="0.2">
      <c r="D1727" s="1"/>
    </row>
    <row r="1728" spans="4:4" x14ac:dyDescent="0.2">
      <c r="D1728" s="1"/>
    </row>
    <row r="1729" spans="4:4" x14ac:dyDescent="0.2">
      <c r="D1729" s="1"/>
    </row>
    <row r="1730" spans="4:4" x14ac:dyDescent="0.2">
      <c r="D1730" s="1"/>
    </row>
    <row r="1731" spans="4:4" x14ac:dyDescent="0.2">
      <c r="D1731" s="1"/>
    </row>
    <row r="1732" spans="4:4" x14ac:dyDescent="0.2">
      <c r="D1732" s="1"/>
    </row>
    <row r="1733" spans="4:4" x14ac:dyDescent="0.2">
      <c r="D1733" s="1"/>
    </row>
    <row r="1734" spans="4:4" x14ac:dyDescent="0.2">
      <c r="D1734" s="1"/>
    </row>
    <row r="1735" spans="4:4" x14ac:dyDescent="0.2">
      <c r="D1735" s="1"/>
    </row>
    <row r="1737" spans="4:4" x14ac:dyDescent="0.2">
      <c r="D1737" s="1"/>
    </row>
    <row r="1738" spans="4:4" x14ac:dyDescent="0.2">
      <c r="D1738" s="1"/>
    </row>
    <row r="1739" spans="4:4" x14ac:dyDescent="0.2">
      <c r="D1739" s="1"/>
    </row>
    <row r="1740" spans="4:4" x14ac:dyDescent="0.2">
      <c r="D1740" s="1"/>
    </row>
    <row r="1741" spans="4:4" x14ac:dyDescent="0.2">
      <c r="D1741" s="1"/>
    </row>
    <row r="1742" spans="4:4" x14ac:dyDescent="0.2">
      <c r="D1742" s="1"/>
    </row>
    <row r="1743" spans="4:4" x14ac:dyDescent="0.2">
      <c r="D1743" s="1"/>
    </row>
    <row r="1744" spans="4:4" x14ac:dyDescent="0.2">
      <c r="D1744" s="1"/>
    </row>
    <row r="1745" spans="4:4" x14ac:dyDescent="0.2">
      <c r="D1745" s="1"/>
    </row>
    <row r="1746" spans="4:4" x14ac:dyDescent="0.2">
      <c r="D1746" s="1"/>
    </row>
    <row r="1747" spans="4:4" x14ac:dyDescent="0.2">
      <c r="D1747" s="1"/>
    </row>
    <row r="1748" spans="4:4" x14ac:dyDescent="0.2">
      <c r="D1748" s="1"/>
    </row>
    <row r="1749" spans="4:4" x14ac:dyDescent="0.2">
      <c r="D1749" s="1"/>
    </row>
    <row r="1750" spans="4:4" x14ac:dyDescent="0.2">
      <c r="D1750" s="1"/>
    </row>
    <row r="1752" spans="4:4" x14ac:dyDescent="0.2">
      <c r="D1752" s="1"/>
    </row>
    <row r="1753" spans="4:4" x14ac:dyDescent="0.2">
      <c r="D1753" s="1"/>
    </row>
    <row r="1754" spans="4:4" x14ac:dyDescent="0.2">
      <c r="D1754" s="1"/>
    </row>
    <row r="1755" spans="4:4" x14ac:dyDescent="0.2">
      <c r="D1755" s="1"/>
    </row>
    <row r="1756" spans="4:4" x14ac:dyDescent="0.2">
      <c r="D1756" s="1"/>
    </row>
    <row r="1757" spans="4:4" x14ac:dyDescent="0.2">
      <c r="D1757" s="1"/>
    </row>
    <row r="1758" spans="4:4" x14ac:dyDescent="0.2">
      <c r="D1758" s="1"/>
    </row>
    <row r="1759" spans="4:4" x14ac:dyDescent="0.2">
      <c r="D1759" s="1"/>
    </row>
    <row r="1760" spans="4:4" x14ac:dyDescent="0.2">
      <c r="D1760" s="1"/>
    </row>
    <row r="1761" spans="4:4" x14ac:dyDescent="0.2">
      <c r="D1761" s="1"/>
    </row>
    <row r="1762" spans="4:4" x14ac:dyDescent="0.2">
      <c r="D1762" s="1"/>
    </row>
    <row r="1764" spans="4:4" x14ac:dyDescent="0.2">
      <c r="D1764" s="1"/>
    </row>
    <row r="1765" spans="4:4" x14ac:dyDescent="0.2">
      <c r="D1765" s="1"/>
    </row>
    <row r="1766" spans="4:4" x14ac:dyDescent="0.2">
      <c r="D1766" s="1"/>
    </row>
    <row r="1767" spans="4:4" x14ac:dyDescent="0.2">
      <c r="D1767" s="1"/>
    </row>
    <row r="1768" spans="4:4" x14ac:dyDescent="0.2">
      <c r="D1768" s="1"/>
    </row>
    <row r="1769" spans="4:4" x14ac:dyDescent="0.2">
      <c r="D1769" s="1"/>
    </row>
    <row r="1771" spans="4:4" x14ac:dyDescent="0.2">
      <c r="D1771" s="1"/>
    </row>
    <row r="1772" spans="4:4" x14ac:dyDescent="0.2">
      <c r="D1772" s="1"/>
    </row>
    <row r="1773" spans="4:4" x14ac:dyDescent="0.2">
      <c r="D1773" s="1"/>
    </row>
    <row r="1774" spans="4:4" x14ac:dyDescent="0.2">
      <c r="D1774" s="1"/>
    </row>
    <row r="1775" spans="4:4" x14ac:dyDescent="0.2">
      <c r="D1775" s="1"/>
    </row>
    <row r="1776" spans="4:4" x14ac:dyDescent="0.2">
      <c r="D1776" s="1"/>
    </row>
    <row r="1778" spans="4:4" x14ac:dyDescent="0.2">
      <c r="D1778" s="1"/>
    </row>
    <row r="1779" spans="4:4" x14ac:dyDescent="0.2">
      <c r="D1779" s="1"/>
    </row>
    <row r="1781" spans="4:4" x14ac:dyDescent="0.2">
      <c r="D1781" s="1"/>
    </row>
    <row r="1784" spans="4:4" x14ac:dyDescent="0.2">
      <c r="D1784" s="1"/>
    </row>
    <row r="1785" spans="4:4" x14ac:dyDescent="0.2">
      <c r="D1785" s="1"/>
    </row>
    <row r="1786" spans="4:4" x14ac:dyDescent="0.2">
      <c r="D1786" s="1"/>
    </row>
    <row r="1787" spans="4:4" x14ac:dyDescent="0.2">
      <c r="D1787" s="1"/>
    </row>
    <row r="1788" spans="4:4" x14ac:dyDescent="0.2">
      <c r="D1788" s="1"/>
    </row>
    <row r="1789" spans="4:4" x14ac:dyDescent="0.2">
      <c r="D1789" s="1"/>
    </row>
    <row r="1790" spans="4:4" x14ac:dyDescent="0.2">
      <c r="D1790" s="1"/>
    </row>
    <row r="1793" spans="4:4" x14ac:dyDescent="0.2">
      <c r="D1793" s="1"/>
    </row>
    <row r="1794" spans="4:4" x14ac:dyDescent="0.2">
      <c r="D1794" s="1"/>
    </row>
    <row r="1795" spans="4:4" x14ac:dyDescent="0.2">
      <c r="D1795" s="1"/>
    </row>
    <row r="1796" spans="4:4" x14ac:dyDescent="0.2">
      <c r="D1796" s="1"/>
    </row>
    <row r="1798" spans="4:4" x14ac:dyDescent="0.2">
      <c r="D1798" s="1"/>
    </row>
    <row r="1799" spans="4:4" x14ac:dyDescent="0.2">
      <c r="D1799" s="1"/>
    </row>
    <row r="1800" spans="4:4" x14ac:dyDescent="0.2">
      <c r="D1800" s="1"/>
    </row>
    <row r="1801" spans="4:4" x14ac:dyDescent="0.2">
      <c r="D1801" s="1"/>
    </row>
    <row r="1802" spans="4:4" x14ac:dyDescent="0.2">
      <c r="D1802" s="1"/>
    </row>
    <row r="1803" spans="4:4" x14ac:dyDescent="0.2">
      <c r="D1803" s="1"/>
    </row>
    <row r="1804" spans="4:4" x14ac:dyDescent="0.2">
      <c r="D1804" s="1"/>
    </row>
    <row r="1805" spans="4:4" x14ac:dyDescent="0.2">
      <c r="D1805" s="1"/>
    </row>
    <row r="1806" spans="4:4" x14ac:dyDescent="0.2">
      <c r="D1806" s="1"/>
    </row>
    <row r="1807" spans="4:4" x14ac:dyDescent="0.2">
      <c r="D1807" s="1"/>
    </row>
    <row r="1827" spans="4:4" x14ac:dyDescent="0.2">
      <c r="D1827" s="1"/>
    </row>
    <row r="2030" spans="4:4" x14ac:dyDescent="0.2">
      <c r="D2030" s="1"/>
    </row>
    <row r="2033" spans="4:4" x14ac:dyDescent="0.2">
      <c r="D2033" s="1"/>
    </row>
    <row r="2034" spans="4:4" x14ac:dyDescent="0.2">
      <c r="D2034" s="1"/>
    </row>
    <row r="2037" spans="4:4" x14ac:dyDescent="0.2">
      <c r="D2037" s="1"/>
    </row>
    <row r="2041" spans="4:4" x14ac:dyDescent="0.2">
      <c r="D2041" s="1"/>
    </row>
    <row r="2045" spans="4:4" x14ac:dyDescent="0.2">
      <c r="D2045" s="1"/>
    </row>
    <row r="2049" spans="4:4" x14ac:dyDescent="0.2">
      <c r="D2049" s="1"/>
    </row>
    <row r="2051" spans="4:4" x14ac:dyDescent="0.2">
      <c r="D2051" s="1"/>
    </row>
    <row r="2055" spans="4:4" x14ac:dyDescent="0.2">
      <c r="D2055" s="1"/>
    </row>
    <row r="2056" spans="4:4" x14ac:dyDescent="0.2">
      <c r="D2056" s="1"/>
    </row>
    <row r="2057" spans="4:4" x14ac:dyDescent="0.2">
      <c r="D2057" s="1"/>
    </row>
    <row r="2059" spans="4:4" x14ac:dyDescent="0.2">
      <c r="D2059" s="1"/>
    </row>
    <row r="2060" spans="4:4" x14ac:dyDescent="0.2">
      <c r="D2060" s="1"/>
    </row>
    <row r="2061" spans="4:4" x14ac:dyDescent="0.2">
      <c r="D2061" s="1"/>
    </row>
    <row r="2062" spans="4:4" x14ac:dyDescent="0.2">
      <c r="D2062" s="1"/>
    </row>
    <row r="2063" spans="4:4" x14ac:dyDescent="0.2">
      <c r="D2063" s="1"/>
    </row>
    <row r="2066" spans="4:4" x14ac:dyDescent="0.2">
      <c r="D2066" s="1"/>
    </row>
    <row r="2067" spans="4:4" x14ac:dyDescent="0.2">
      <c r="D2067" s="1"/>
    </row>
    <row r="2068" spans="4:4" x14ac:dyDescent="0.2">
      <c r="D2068" s="1"/>
    </row>
    <row r="2069" spans="4:4" x14ac:dyDescent="0.2">
      <c r="D2069" s="1"/>
    </row>
    <row r="2070" spans="4:4" x14ac:dyDescent="0.2">
      <c r="D2070" s="1"/>
    </row>
    <row r="2071" spans="4:4" x14ac:dyDescent="0.2">
      <c r="D2071" s="1"/>
    </row>
    <row r="2072" spans="4:4" x14ac:dyDescent="0.2">
      <c r="D2072" s="1"/>
    </row>
    <row r="2073" spans="4:4" x14ac:dyDescent="0.2">
      <c r="D2073" s="1"/>
    </row>
    <row r="2074" spans="4:4" x14ac:dyDescent="0.2">
      <c r="D2074" s="1"/>
    </row>
    <row r="2075" spans="4:4" x14ac:dyDescent="0.2">
      <c r="D2075" s="1"/>
    </row>
    <row r="2076" spans="4:4" x14ac:dyDescent="0.2">
      <c r="D2076" s="1"/>
    </row>
    <row r="2077" spans="4:4" x14ac:dyDescent="0.2">
      <c r="D2077" s="1"/>
    </row>
    <row r="2078" spans="4:4" x14ac:dyDescent="0.2">
      <c r="D2078" s="1"/>
    </row>
    <row r="2079" spans="4:4" x14ac:dyDescent="0.2">
      <c r="D2079" s="1"/>
    </row>
    <row r="2080" spans="4:4" x14ac:dyDescent="0.2">
      <c r="D2080" s="1"/>
    </row>
    <row r="2081" spans="4:4" x14ac:dyDescent="0.2">
      <c r="D2081" s="1"/>
    </row>
    <row r="2082" spans="4:4" x14ac:dyDescent="0.2">
      <c r="D2082" s="1"/>
    </row>
    <row r="2083" spans="4:4" x14ac:dyDescent="0.2">
      <c r="D2083" s="1"/>
    </row>
    <row r="2085" spans="4:4" x14ac:dyDescent="0.2">
      <c r="D2085" s="1"/>
    </row>
    <row r="2086" spans="4:4" x14ac:dyDescent="0.2">
      <c r="D2086" s="1"/>
    </row>
    <row r="2087" spans="4:4" x14ac:dyDescent="0.2">
      <c r="D2087" s="1"/>
    </row>
    <row r="2088" spans="4:4" x14ac:dyDescent="0.2">
      <c r="D2088" s="1"/>
    </row>
    <row r="2089" spans="4:4" x14ac:dyDescent="0.2">
      <c r="D2089" s="1"/>
    </row>
    <row r="2090" spans="4:4" x14ac:dyDescent="0.2">
      <c r="D2090" s="1"/>
    </row>
    <row r="2091" spans="4:4" x14ac:dyDescent="0.2">
      <c r="D2091" s="1"/>
    </row>
    <row r="2092" spans="4:4" x14ac:dyDescent="0.2">
      <c r="D2092" s="1"/>
    </row>
    <row r="2093" spans="4:4" x14ac:dyDescent="0.2">
      <c r="D2093" s="1"/>
    </row>
    <row r="2094" spans="4:4" x14ac:dyDescent="0.2">
      <c r="D2094" s="1"/>
    </row>
    <row r="2095" spans="4:4" x14ac:dyDescent="0.2">
      <c r="D2095" s="1"/>
    </row>
    <row r="2096" spans="4:4" x14ac:dyDescent="0.2">
      <c r="D2096" s="1"/>
    </row>
    <row r="2098" spans="4:4" x14ac:dyDescent="0.2">
      <c r="D2098" s="1"/>
    </row>
    <row r="2099" spans="4:4" x14ac:dyDescent="0.2">
      <c r="D2099" s="1"/>
    </row>
    <row r="2100" spans="4:4" x14ac:dyDescent="0.2">
      <c r="D2100" s="1"/>
    </row>
    <row r="2101" spans="4:4" x14ac:dyDescent="0.2">
      <c r="D2101" s="1"/>
    </row>
    <row r="2103" spans="4:4" x14ac:dyDescent="0.2">
      <c r="D2103" s="1"/>
    </row>
    <row r="2104" spans="4:4" x14ac:dyDescent="0.2">
      <c r="D2104" s="1"/>
    </row>
    <row r="2106" spans="4:4" x14ac:dyDescent="0.2">
      <c r="D2106" s="1"/>
    </row>
    <row r="2107" spans="4:4" x14ac:dyDescent="0.2">
      <c r="D2107" s="1"/>
    </row>
    <row r="2108" spans="4:4" x14ac:dyDescent="0.2">
      <c r="D2108" s="1"/>
    </row>
    <row r="2109" spans="4:4" x14ac:dyDescent="0.2">
      <c r="D2109" s="1"/>
    </row>
    <row r="2110" spans="4:4" x14ac:dyDescent="0.2">
      <c r="D2110" s="1"/>
    </row>
    <row r="2113" spans="4:4" x14ac:dyDescent="0.2">
      <c r="D2113" s="1"/>
    </row>
    <row r="2114" spans="4:4" x14ac:dyDescent="0.2">
      <c r="D2114" s="1"/>
    </row>
    <row r="2115" spans="4:4" x14ac:dyDescent="0.2">
      <c r="D2115" s="1"/>
    </row>
    <row r="2116" spans="4:4" x14ac:dyDescent="0.2">
      <c r="D2116" s="1"/>
    </row>
    <row r="2117" spans="4:4" x14ac:dyDescent="0.2">
      <c r="D2117" s="1"/>
    </row>
    <row r="2118" spans="4:4" x14ac:dyDescent="0.2">
      <c r="D2118" s="1"/>
    </row>
    <row r="2119" spans="4:4" x14ac:dyDescent="0.2">
      <c r="D2119" s="1"/>
    </row>
    <row r="2120" spans="4:4" x14ac:dyDescent="0.2">
      <c r="D2120" s="1"/>
    </row>
    <row r="2121" spans="4:4" x14ac:dyDescent="0.2">
      <c r="D2121" s="1"/>
    </row>
    <row r="2122" spans="4:4" x14ac:dyDescent="0.2">
      <c r="D2122" s="1"/>
    </row>
    <row r="2123" spans="4:4" x14ac:dyDescent="0.2">
      <c r="D2123" s="1"/>
    </row>
    <row r="2124" spans="4:4" x14ac:dyDescent="0.2">
      <c r="D2124" s="1"/>
    </row>
    <row r="2125" spans="4:4" x14ac:dyDescent="0.2">
      <c r="D2125" s="1"/>
    </row>
    <row r="2126" spans="4:4" x14ac:dyDescent="0.2">
      <c r="D2126" s="1"/>
    </row>
    <row r="2127" spans="4:4" x14ac:dyDescent="0.2">
      <c r="D2127" s="1"/>
    </row>
    <row r="2128" spans="4:4" x14ac:dyDescent="0.2">
      <c r="D2128" s="1"/>
    </row>
    <row r="2129" spans="4:4" x14ac:dyDescent="0.2">
      <c r="D2129" s="1"/>
    </row>
    <row r="2130" spans="4:4" x14ac:dyDescent="0.2">
      <c r="D2130" s="1"/>
    </row>
    <row r="2131" spans="4:4" x14ac:dyDescent="0.2">
      <c r="D2131" s="1"/>
    </row>
    <row r="2133" spans="4:4" x14ac:dyDescent="0.2">
      <c r="D2133" s="1"/>
    </row>
    <row r="2134" spans="4:4" x14ac:dyDescent="0.2">
      <c r="D2134" s="1"/>
    </row>
    <row r="2135" spans="4:4" x14ac:dyDescent="0.2">
      <c r="D2135" s="1"/>
    </row>
    <row r="2136" spans="4:4" x14ac:dyDescent="0.2">
      <c r="D2136" s="1"/>
    </row>
    <row r="2137" spans="4:4" x14ac:dyDescent="0.2">
      <c r="D2137" s="1"/>
    </row>
    <row r="2138" spans="4:4" x14ac:dyDescent="0.2">
      <c r="D2138" s="1"/>
    </row>
    <row r="2139" spans="4:4" x14ac:dyDescent="0.2">
      <c r="D2139" s="1"/>
    </row>
    <row r="2140" spans="4:4" x14ac:dyDescent="0.2">
      <c r="D2140" s="1"/>
    </row>
    <row r="2141" spans="4:4" x14ac:dyDescent="0.2">
      <c r="D2141" s="1"/>
    </row>
    <row r="2142" spans="4:4" x14ac:dyDescent="0.2">
      <c r="D2142" s="1"/>
    </row>
    <row r="2143" spans="4:4" x14ac:dyDescent="0.2">
      <c r="D2143" s="1"/>
    </row>
    <row r="2144" spans="4:4" x14ac:dyDescent="0.2">
      <c r="D2144" s="1"/>
    </row>
    <row r="2145" spans="4:4" x14ac:dyDescent="0.2">
      <c r="D2145" s="1"/>
    </row>
    <row r="2146" spans="4:4" x14ac:dyDescent="0.2">
      <c r="D2146" s="1"/>
    </row>
    <row r="2147" spans="4:4" x14ac:dyDescent="0.2">
      <c r="D2147" s="1"/>
    </row>
    <row r="2148" spans="4:4" x14ac:dyDescent="0.2">
      <c r="D2148" s="1"/>
    </row>
    <row r="2149" spans="4:4" x14ac:dyDescent="0.2">
      <c r="D2149" s="1"/>
    </row>
    <row r="2150" spans="4:4" x14ac:dyDescent="0.2">
      <c r="D2150" s="1"/>
    </row>
    <row r="2151" spans="4:4" x14ac:dyDescent="0.2">
      <c r="D2151" s="1"/>
    </row>
    <row r="2152" spans="4:4" x14ac:dyDescent="0.2">
      <c r="D2152" s="1"/>
    </row>
    <row r="2153" spans="4:4" x14ac:dyDescent="0.2">
      <c r="D2153" s="1"/>
    </row>
    <row r="2154" spans="4:4" x14ac:dyDescent="0.2">
      <c r="D2154" s="1"/>
    </row>
    <row r="2155" spans="4:4" x14ac:dyDescent="0.2">
      <c r="D2155" s="1"/>
    </row>
    <row r="2156" spans="4:4" x14ac:dyDescent="0.2">
      <c r="D2156" s="1"/>
    </row>
    <row r="2157" spans="4:4" x14ac:dyDescent="0.2">
      <c r="D2157" s="1"/>
    </row>
    <row r="2158" spans="4:4" x14ac:dyDescent="0.2">
      <c r="D2158" s="1"/>
    </row>
    <row r="2159" spans="4:4" x14ac:dyDescent="0.2">
      <c r="D2159" s="1"/>
    </row>
    <row r="2160" spans="4:4" x14ac:dyDescent="0.2">
      <c r="D2160" s="1"/>
    </row>
    <row r="2161" spans="4:4" x14ac:dyDescent="0.2">
      <c r="D2161" s="1"/>
    </row>
    <row r="2162" spans="4:4" x14ac:dyDescent="0.2">
      <c r="D2162" s="1"/>
    </row>
    <row r="2163" spans="4:4" x14ac:dyDescent="0.2">
      <c r="D2163" s="1"/>
    </row>
    <row r="2164" spans="4:4" x14ac:dyDescent="0.2">
      <c r="D2164" s="1"/>
    </row>
    <row r="2165" spans="4:4" x14ac:dyDescent="0.2">
      <c r="D2165" s="1"/>
    </row>
    <row r="2166" spans="4:4" x14ac:dyDescent="0.2">
      <c r="D2166" s="1"/>
    </row>
    <row r="2167" spans="4:4" x14ac:dyDescent="0.2">
      <c r="D2167" s="1"/>
    </row>
    <row r="2168" spans="4:4" x14ac:dyDescent="0.2">
      <c r="D2168" s="1"/>
    </row>
    <row r="2169" spans="4:4" x14ac:dyDescent="0.2">
      <c r="D2169" s="1"/>
    </row>
    <row r="2170" spans="4:4" x14ac:dyDescent="0.2">
      <c r="D2170" s="1"/>
    </row>
    <row r="2171" spans="4:4" x14ac:dyDescent="0.2">
      <c r="D2171" s="1"/>
    </row>
    <row r="2172" spans="4:4" x14ac:dyDescent="0.2">
      <c r="D2172" s="1"/>
    </row>
    <row r="2173" spans="4:4" x14ac:dyDescent="0.2">
      <c r="D2173" s="1"/>
    </row>
    <row r="2174" spans="4:4" x14ac:dyDescent="0.2">
      <c r="D2174" s="1"/>
    </row>
    <row r="2175" spans="4:4" x14ac:dyDescent="0.2">
      <c r="D2175" s="1"/>
    </row>
    <row r="2176" spans="4:4" x14ac:dyDescent="0.2">
      <c r="D2176" s="1"/>
    </row>
    <row r="2177" spans="4:4" x14ac:dyDescent="0.2">
      <c r="D2177" s="1"/>
    </row>
    <row r="2178" spans="4:4" x14ac:dyDescent="0.2">
      <c r="D2178" s="1"/>
    </row>
    <row r="2179" spans="4:4" x14ac:dyDescent="0.2">
      <c r="D2179" s="1"/>
    </row>
    <row r="2180" spans="4:4" x14ac:dyDescent="0.2">
      <c r="D2180" s="1"/>
    </row>
    <row r="2181" spans="4:4" x14ac:dyDescent="0.2">
      <c r="D2181" s="1"/>
    </row>
    <row r="2182" spans="4:4" x14ac:dyDescent="0.2">
      <c r="D2182" s="1"/>
    </row>
    <row r="2183" spans="4:4" x14ac:dyDescent="0.2">
      <c r="D2183" s="1"/>
    </row>
    <row r="2184" spans="4:4" x14ac:dyDescent="0.2">
      <c r="D2184" s="1"/>
    </row>
    <row r="2185" spans="4:4" x14ac:dyDescent="0.2">
      <c r="D2185" s="1"/>
    </row>
    <row r="2186" spans="4:4" x14ac:dyDescent="0.2">
      <c r="D2186" s="1"/>
    </row>
    <row r="2187" spans="4:4" x14ac:dyDescent="0.2">
      <c r="D2187" s="1"/>
    </row>
    <row r="2188" spans="4:4" x14ac:dyDescent="0.2">
      <c r="D2188" s="1"/>
    </row>
    <row r="2189" spans="4:4" x14ac:dyDescent="0.2">
      <c r="D2189" s="1"/>
    </row>
    <row r="2190" spans="4:4" x14ac:dyDescent="0.2">
      <c r="D2190" s="1"/>
    </row>
    <row r="2191" spans="4:4" x14ac:dyDescent="0.2">
      <c r="D2191" s="1"/>
    </row>
    <row r="2192" spans="4:4" x14ac:dyDescent="0.2">
      <c r="D2192" s="1"/>
    </row>
    <row r="2193" spans="4:4" x14ac:dyDescent="0.2">
      <c r="D2193" s="1"/>
    </row>
    <row r="2194" spans="4:4" x14ac:dyDescent="0.2">
      <c r="D2194" s="1"/>
    </row>
    <row r="2195" spans="4:4" x14ac:dyDescent="0.2">
      <c r="D2195" s="1"/>
    </row>
    <row r="2196" spans="4:4" x14ac:dyDescent="0.2">
      <c r="D2196" s="1"/>
    </row>
    <row r="2197" spans="4:4" x14ac:dyDescent="0.2">
      <c r="D2197" s="1"/>
    </row>
    <row r="2198" spans="4:4" x14ac:dyDescent="0.2">
      <c r="D2198" s="1"/>
    </row>
    <row r="2199" spans="4:4" x14ac:dyDescent="0.2">
      <c r="D2199" s="1"/>
    </row>
    <row r="2200" spans="4:4" x14ac:dyDescent="0.2">
      <c r="D2200" s="1"/>
    </row>
    <row r="2201" spans="4:4" x14ac:dyDescent="0.2">
      <c r="D2201" s="1"/>
    </row>
    <row r="2202" spans="4:4" x14ac:dyDescent="0.2">
      <c r="D2202" s="1"/>
    </row>
    <row r="2203" spans="4:4" x14ac:dyDescent="0.2">
      <c r="D2203" s="1"/>
    </row>
    <row r="2204" spans="4:4" x14ac:dyDescent="0.2">
      <c r="D2204" s="1"/>
    </row>
    <row r="2205" spans="4:4" x14ac:dyDescent="0.2">
      <c r="D2205" s="1"/>
    </row>
    <row r="2206" spans="4:4" x14ac:dyDescent="0.2">
      <c r="D2206" s="1"/>
    </row>
    <row r="2207" spans="4:4" x14ac:dyDescent="0.2">
      <c r="D2207" s="1"/>
    </row>
    <row r="2208" spans="4:4" x14ac:dyDescent="0.2">
      <c r="D2208" s="1"/>
    </row>
    <row r="2209" spans="4:4" x14ac:dyDescent="0.2">
      <c r="D2209" s="1"/>
    </row>
    <row r="2210" spans="4:4" x14ac:dyDescent="0.2">
      <c r="D2210" s="1"/>
    </row>
    <row r="2211" spans="4:4" x14ac:dyDescent="0.2">
      <c r="D2211" s="1"/>
    </row>
    <row r="2212" spans="4:4" x14ac:dyDescent="0.2">
      <c r="D2212" s="1"/>
    </row>
    <row r="2213" spans="4:4" x14ac:dyDescent="0.2">
      <c r="D2213" s="1"/>
    </row>
    <row r="2214" spans="4:4" x14ac:dyDescent="0.2">
      <c r="D2214" s="1"/>
    </row>
    <row r="2215" spans="4:4" x14ac:dyDescent="0.2">
      <c r="D2215" s="1"/>
    </row>
    <row r="2216" spans="4:4" x14ac:dyDescent="0.2">
      <c r="D2216" s="1"/>
    </row>
    <row r="2217" spans="4:4" x14ac:dyDescent="0.2">
      <c r="D2217" s="1"/>
    </row>
    <row r="2218" spans="4:4" x14ac:dyDescent="0.2">
      <c r="D2218" s="1"/>
    </row>
    <row r="2219" spans="4:4" x14ac:dyDescent="0.2">
      <c r="D2219" s="1"/>
    </row>
    <row r="2220" spans="4:4" x14ac:dyDescent="0.2">
      <c r="D2220" s="1"/>
    </row>
    <row r="2221" spans="4:4" x14ac:dyDescent="0.2">
      <c r="D2221" s="1"/>
    </row>
    <row r="2222" spans="4:4" x14ac:dyDescent="0.2">
      <c r="D2222" s="1"/>
    </row>
    <row r="2223" spans="4:4" x14ac:dyDescent="0.2">
      <c r="D2223" s="1"/>
    </row>
    <row r="2224" spans="4:4" x14ac:dyDescent="0.2">
      <c r="D2224" s="1"/>
    </row>
    <row r="2225" spans="4:4" x14ac:dyDescent="0.2">
      <c r="D2225" s="1"/>
    </row>
    <row r="2226" spans="4:4" x14ac:dyDescent="0.2">
      <c r="D2226" s="1"/>
    </row>
    <row r="2227" spans="4:4" x14ac:dyDescent="0.2">
      <c r="D2227" s="1"/>
    </row>
    <row r="2228" spans="4:4" x14ac:dyDescent="0.2">
      <c r="D2228" s="1"/>
    </row>
    <row r="2229" spans="4:4" x14ac:dyDescent="0.2">
      <c r="D2229" s="1"/>
    </row>
    <row r="2230" spans="4:4" x14ac:dyDescent="0.2">
      <c r="D2230" s="1"/>
    </row>
    <row r="2231" spans="4:4" x14ac:dyDescent="0.2">
      <c r="D2231" s="1"/>
    </row>
    <row r="2232" spans="4:4" x14ac:dyDescent="0.2">
      <c r="D2232" s="1"/>
    </row>
    <row r="2233" spans="4:4" x14ac:dyDescent="0.2">
      <c r="D2233" s="1"/>
    </row>
    <row r="2234" spans="4:4" x14ac:dyDescent="0.2">
      <c r="D2234" s="1"/>
    </row>
    <row r="2235" spans="4:4" x14ac:dyDescent="0.2">
      <c r="D2235" s="1"/>
    </row>
    <row r="2236" spans="4:4" x14ac:dyDescent="0.2">
      <c r="D2236" s="1"/>
    </row>
    <row r="2237" spans="4:4" x14ac:dyDescent="0.2">
      <c r="D2237" s="1"/>
    </row>
    <row r="2238" spans="4:4" x14ac:dyDescent="0.2">
      <c r="D2238" s="1"/>
    </row>
    <row r="2239" spans="4:4" x14ac:dyDescent="0.2">
      <c r="D2239" s="1"/>
    </row>
    <row r="2240" spans="4:4" x14ac:dyDescent="0.2">
      <c r="D2240" s="1"/>
    </row>
    <row r="2241" spans="4:4" x14ac:dyDescent="0.2">
      <c r="D2241" s="1"/>
    </row>
    <row r="2242" spans="4:4" x14ac:dyDescent="0.2">
      <c r="D2242" s="1"/>
    </row>
    <row r="2243" spans="4:4" x14ac:dyDescent="0.2">
      <c r="D2243" s="1"/>
    </row>
    <row r="2244" spans="4:4" x14ac:dyDescent="0.2">
      <c r="D2244" s="1"/>
    </row>
    <row r="2245" spans="4:4" x14ac:dyDescent="0.2">
      <c r="D2245" s="1"/>
    </row>
    <row r="2246" spans="4:4" x14ac:dyDescent="0.2">
      <c r="D2246" s="1"/>
    </row>
    <row r="2247" spans="4:4" x14ac:dyDescent="0.2">
      <c r="D2247" s="1"/>
    </row>
    <row r="2248" spans="4:4" x14ac:dyDescent="0.2">
      <c r="D2248" s="1"/>
    </row>
    <row r="2249" spans="4:4" x14ac:dyDescent="0.2">
      <c r="D2249" s="1"/>
    </row>
    <row r="2250" spans="4:4" x14ac:dyDescent="0.2">
      <c r="D2250" s="1"/>
    </row>
    <row r="2251" spans="4:4" x14ac:dyDescent="0.2">
      <c r="D2251" s="1"/>
    </row>
    <row r="2252" spans="4:4" x14ac:dyDescent="0.2">
      <c r="D2252" s="1"/>
    </row>
    <row r="2253" spans="4:4" x14ac:dyDescent="0.2">
      <c r="D2253" s="1"/>
    </row>
    <row r="2254" spans="4:4" x14ac:dyDescent="0.2">
      <c r="D2254" s="1"/>
    </row>
    <row r="2255" spans="4:4" x14ac:dyDescent="0.2">
      <c r="D2255" s="1"/>
    </row>
    <row r="2256" spans="4:4" x14ac:dyDescent="0.2">
      <c r="D2256" s="1"/>
    </row>
    <row r="2257" spans="4:4" x14ac:dyDescent="0.2">
      <c r="D2257" s="1"/>
    </row>
    <row r="2258" spans="4:4" x14ac:dyDescent="0.2">
      <c r="D2258" s="1"/>
    </row>
    <row r="2259" spans="4:4" x14ac:dyDescent="0.2">
      <c r="D2259" s="1"/>
    </row>
    <row r="2260" spans="4:4" x14ac:dyDescent="0.2">
      <c r="D2260" s="1"/>
    </row>
    <row r="2261" spans="4:4" x14ac:dyDescent="0.2">
      <c r="D2261" s="1"/>
    </row>
    <row r="2262" spans="4:4" x14ac:dyDescent="0.2">
      <c r="D2262" s="1"/>
    </row>
    <row r="2263" spans="4:4" x14ac:dyDescent="0.2">
      <c r="D2263" s="1"/>
    </row>
    <row r="2264" spans="4:4" x14ac:dyDescent="0.2">
      <c r="D2264" s="1"/>
    </row>
    <row r="2265" spans="4:4" x14ac:dyDescent="0.2">
      <c r="D2265" s="1"/>
    </row>
    <row r="2266" spans="4:4" x14ac:dyDescent="0.2">
      <c r="D2266" s="1"/>
    </row>
    <row r="2267" spans="4:4" x14ac:dyDescent="0.2">
      <c r="D2267" s="1"/>
    </row>
    <row r="2268" spans="4:4" x14ac:dyDescent="0.2">
      <c r="D2268" s="1"/>
    </row>
    <row r="2269" spans="4:4" x14ac:dyDescent="0.2">
      <c r="D2269" s="1"/>
    </row>
    <row r="2270" spans="4:4" x14ac:dyDescent="0.2">
      <c r="D2270" s="1"/>
    </row>
    <row r="2271" spans="4:4" x14ac:dyDescent="0.2">
      <c r="D2271" s="1"/>
    </row>
    <row r="2272" spans="4:4" x14ac:dyDescent="0.2">
      <c r="D2272" s="1"/>
    </row>
    <row r="2273" spans="4:4" x14ac:dyDescent="0.2">
      <c r="D2273" s="1"/>
    </row>
    <row r="2274" spans="4:4" x14ac:dyDescent="0.2">
      <c r="D2274" s="1"/>
    </row>
    <row r="2275" spans="4:4" x14ac:dyDescent="0.2">
      <c r="D2275" s="1"/>
    </row>
    <row r="2276" spans="4:4" x14ac:dyDescent="0.2">
      <c r="D2276" s="1"/>
    </row>
    <row r="2277" spans="4:4" x14ac:dyDescent="0.2">
      <c r="D2277" s="1"/>
    </row>
    <row r="2278" spans="4:4" x14ac:dyDescent="0.2">
      <c r="D2278" s="1"/>
    </row>
    <row r="2279" spans="4:4" x14ac:dyDescent="0.2">
      <c r="D2279" s="1"/>
    </row>
    <row r="2280" spans="4:4" x14ac:dyDescent="0.2">
      <c r="D2280" s="1"/>
    </row>
    <row r="2281" spans="4:4" x14ac:dyDescent="0.2">
      <c r="D2281" s="1"/>
    </row>
    <row r="2282" spans="4:4" x14ac:dyDescent="0.2">
      <c r="D2282" s="1"/>
    </row>
    <row r="2283" spans="4:4" x14ac:dyDescent="0.2">
      <c r="D2283" s="1"/>
    </row>
    <row r="2284" spans="4:4" x14ac:dyDescent="0.2">
      <c r="D2284" s="1"/>
    </row>
    <row r="2285" spans="4:4" x14ac:dyDescent="0.2">
      <c r="D2285" s="1"/>
    </row>
    <row r="2286" spans="4:4" x14ac:dyDescent="0.2">
      <c r="D2286" s="1"/>
    </row>
    <row r="2287" spans="4:4" x14ac:dyDescent="0.2">
      <c r="D2287" s="1"/>
    </row>
    <row r="2288" spans="4:4" x14ac:dyDescent="0.2">
      <c r="D2288" s="1"/>
    </row>
    <row r="2289" spans="4:4" x14ac:dyDescent="0.2">
      <c r="D2289" s="1"/>
    </row>
    <row r="2290" spans="4:4" x14ac:dyDescent="0.2">
      <c r="D2290" s="1"/>
    </row>
    <row r="2291" spans="4:4" x14ac:dyDescent="0.2">
      <c r="D2291" s="1"/>
    </row>
    <row r="2292" spans="4:4" x14ac:dyDescent="0.2">
      <c r="D2292" s="1"/>
    </row>
    <row r="2293" spans="4:4" x14ac:dyDescent="0.2">
      <c r="D2293" s="1"/>
    </row>
    <row r="2294" spans="4:4" x14ac:dyDescent="0.2">
      <c r="D2294" s="1"/>
    </row>
    <row r="2295" spans="4:4" x14ac:dyDescent="0.2">
      <c r="D2295" s="1"/>
    </row>
    <row r="2296" spans="4:4" x14ac:dyDescent="0.2">
      <c r="D2296" s="1"/>
    </row>
    <row r="2297" spans="4:4" x14ac:dyDescent="0.2">
      <c r="D2297" s="1"/>
    </row>
    <row r="2298" spans="4:4" x14ac:dyDescent="0.2">
      <c r="D2298" s="1"/>
    </row>
    <row r="2299" spans="4:4" x14ac:dyDescent="0.2">
      <c r="D2299" s="1"/>
    </row>
    <row r="2300" spans="4:4" x14ac:dyDescent="0.2">
      <c r="D2300" s="1"/>
    </row>
    <row r="2301" spans="4:4" x14ac:dyDescent="0.2">
      <c r="D2301" s="1"/>
    </row>
    <row r="2302" spans="4:4" x14ac:dyDescent="0.2">
      <c r="D2302" s="1"/>
    </row>
    <row r="2303" spans="4:4" x14ac:dyDescent="0.2">
      <c r="D2303" s="1"/>
    </row>
    <row r="2304" spans="4:4" x14ac:dyDescent="0.2">
      <c r="D2304" s="1"/>
    </row>
    <row r="2305" spans="4:4" x14ac:dyDescent="0.2">
      <c r="D2305" s="1"/>
    </row>
    <row r="2306" spans="4:4" x14ac:dyDescent="0.2">
      <c r="D2306" s="1"/>
    </row>
    <row r="2307" spans="4:4" x14ac:dyDescent="0.2">
      <c r="D2307" s="1"/>
    </row>
    <row r="2308" spans="4:4" x14ac:dyDescent="0.2">
      <c r="D2308" s="1"/>
    </row>
    <row r="2309" spans="4:4" x14ac:dyDescent="0.2">
      <c r="D2309" s="1"/>
    </row>
    <row r="2310" spans="4:4" x14ac:dyDescent="0.2">
      <c r="D2310" s="1"/>
    </row>
    <row r="2311" spans="4:4" x14ac:dyDescent="0.2">
      <c r="D2311" s="1"/>
    </row>
    <row r="2312" spans="4:4" x14ac:dyDescent="0.2">
      <c r="D2312" s="1"/>
    </row>
    <row r="2313" spans="4:4" x14ac:dyDescent="0.2">
      <c r="D2313" s="1"/>
    </row>
    <row r="2314" spans="4:4" x14ac:dyDescent="0.2">
      <c r="D2314" s="1"/>
    </row>
    <row r="2315" spans="4:4" x14ac:dyDescent="0.2">
      <c r="D2315" s="1"/>
    </row>
    <row r="2316" spans="4:4" x14ac:dyDescent="0.2">
      <c r="D2316" s="1"/>
    </row>
    <row r="2317" spans="4:4" x14ac:dyDescent="0.2">
      <c r="D2317" s="1"/>
    </row>
    <row r="2318" spans="4:4" x14ac:dyDescent="0.2">
      <c r="D2318" s="1"/>
    </row>
    <row r="2319" spans="4:4" x14ac:dyDescent="0.2">
      <c r="D2319" s="1"/>
    </row>
    <row r="2320" spans="4:4" x14ac:dyDescent="0.2">
      <c r="D2320" s="1"/>
    </row>
    <row r="2321" spans="4:4" x14ac:dyDescent="0.2">
      <c r="D2321" s="1"/>
    </row>
    <row r="2322" spans="4:4" x14ac:dyDescent="0.2">
      <c r="D2322" s="1"/>
    </row>
    <row r="2323" spans="4:4" x14ac:dyDescent="0.2">
      <c r="D2323" s="1"/>
    </row>
    <row r="2324" spans="4:4" x14ac:dyDescent="0.2">
      <c r="D2324" s="1"/>
    </row>
    <row r="2325" spans="4:4" x14ac:dyDescent="0.2">
      <c r="D2325" s="1"/>
    </row>
    <row r="2326" spans="4:4" x14ac:dyDescent="0.2">
      <c r="D2326" s="1"/>
    </row>
    <row r="2327" spans="4:4" x14ac:dyDescent="0.2">
      <c r="D2327" s="1"/>
    </row>
    <row r="2328" spans="4:4" x14ac:dyDescent="0.2">
      <c r="D2328" s="1"/>
    </row>
    <row r="2329" spans="4:4" x14ac:dyDescent="0.2">
      <c r="D2329" s="1"/>
    </row>
    <row r="2330" spans="4:4" x14ac:dyDescent="0.2">
      <c r="D2330" s="1"/>
    </row>
    <row r="2331" spans="4:4" x14ac:dyDescent="0.2">
      <c r="D2331" s="1"/>
    </row>
    <row r="2332" spans="4:4" x14ac:dyDescent="0.2">
      <c r="D2332" s="1"/>
    </row>
    <row r="2333" spans="4:4" x14ac:dyDescent="0.2">
      <c r="D2333" s="1"/>
    </row>
    <row r="2334" spans="4:4" x14ac:dyDescent="0.2">
      <c r="D2334" s="1"/>
    </row>
    <row r="2335" spans="4:4" x14ac:dyDescent="0.2">
      <c r="D2335" s="1"/>
    </row>
    <row r="2336" spans="4:4" x14ac:dyDescent="0.2">
      <c r="D2336" s="1"/>
    </row>
    <row r="2337" spans="4:4" x14ac:dyDescent="0.2">
      <c r="D2337" s="1"/>
    </row>
    <row r="2338" spans="4:4" x14ac:dyDescent="0.2">
      <c r="D2338" s="1"/>
    </row>
    <row r="2339" spans="4:4" x14ac:dyDescent="0.2">
      <c r="D2339" s="1"/>
    </row>
    <row r="2340" spans="4:4" x14ac:dyDescent="0.2">
      <c r="D2340" s="1"/>
    </row>
    <row r="2341" spans="4:4" x14ac:dyDescent="0.2">
      <c r="D2341" s="1"/>
    </row>
    <row r="2342" spans="4:4" x14ac:dyDescent="0.2">
      <c r="D2342" s="1"/>
    </row>
    <row r="2343" spans="4:4" x14ac:dyDescent="0.2">
      <c r="D2343" s="1"/>
    </row>
    <row r="2344" spans="4:4" x14ac:dyDescent="0.2">
      <c r="D2344" s="1"/>
    </row>
    <row r="2345" spans="4:4" x14ac:dyDescent="0.2">
      <c r="D2345" s="1"/>
    </row>
    <row r="2346" spans="4:4" x14ac:dyDescent="0.2">
      <c r="D2346" s="1"/>
    </row>
    <row r="2347" spans="4:4" x14ac:dyDescent="0.2">
      <c r="D2347" s="1"/>
    </row>
    <row r="2348" spans="4:4" x14ac:dyDescent="0.2">
      <c r="D2348" s="1"/>
    </row>
    <row r="2349" spans="4:4" x14ac:dyDescent="0.2">
      <c r="D2349" s="1"/>
    </row>
    <row r="2350" spans="4:4" x14ac:dyDescent="0.2">
      <c r="D2350" s="1"/>
    </row>
    <row r="2351" spans="4:4" x14ac:dyDescent="0.2">
      <c r="D2351" s="1"/>
    </row>
    <row r="2352" spans="4:4" x14ac:dyDescent="0.2">
      <c r="D2352" s="1"/>
    </row>
    <row r="2353" spans="4:4" x14ac:dyDescent="0.2">
      <c r="D2353" s="1"/>
    </row>
    <row r="2354" spans="4:4" x14ac:dyDescent="0.2">
      <c r="D2354" s="1"/>
    </row>
    <row r="2355" spans="4:4" x14ac:dyDescent="0.2">
      <c r="D2355" s="1"/>
    </row>
    <row r="2356" spans="4:4" x14ac:dyDescent="0.2">
      <c r="D2356" s="1"/>
    </row>
    <row r="2357" spans="4:4" x14ac:dyDescent="0.2">
      <c r="D2357" s="1"/>
    </row>
    <row r="2358" spans="4:4" x14ac:dyDescent="0.2">
      <c r="D2358" s="1"/>
    </row>
    <row r="2359" spans="4:4" x14ac:dyDescent="0.2">
      <c r="D2359" s="1"/>
    </row>
    <row r="2360" spans="4:4" x14ac:dyDescent="0.2">
      <c r="D2360" s="1"/>
    </row>
    <row r="2361" spans="4:4" x14ac:dyDescent="0.2">
      <c r="D2361" s="1"/>
    </row>
    <row r="2362" spans="4:4" x14ac:dyDescent="0.2">
      <c r="D2362" s="1"/>
    </row>
    <row r="2363" spans="4:4" x14ac:dyDescent="0.2">
      <c r="D2363" s="1"/>
    </row>
    <row r="2364" spans="4:4" x14ac:dyDescent="0.2">
      <c r="D2364" s="1"/>
    </row>
    <row r="2365" spans="4:4" x14ac:dyDescent="0.2">
      <c r="D2365" s="1"/>
    </row>
    <row r="2366" spans="4:4" x14ac:dyDescent="0.2">
      <c r="D2366" s="1"/>
    </row>
    <row r="2367" spans="4:4" x14ac:dyDescent="0.2">
      <c r="D2367" s="1"/>
    </row>
    <row r="2368" spans="4:4" x14ac:dyDescent="0.2">
      <c r="D2368" s="1"/>
    </row>
    <row r="2369" spans="4:4" x14ac:dyDescent="0.2">
      <c r="D2369" s="1"/>
    </row>
    <row r="2370" spans="4:4" x14ac:dyDescent="0.2">
      <c r="D2370" s="1"/>
    </row>
    <row r="2371" spans="4:4" x14ac:dyDescent="0.2">
      <c r="D2371" s="1"/>
    </row>
    <row r="2372" spans="4:4" x14ac:dyDescent="0.2">
      <c r="D2372" s="1"/>
    </row>
    <row r="2373" spans="4:4" x14ac:dyDescent="0.2">
      <c r="D2373" s="1"/>
    </row>
    <row r="2374" spans="4:4" x14ac:dyDescent="0.2">
      <c r="D2374" s="1"/>
    </row>
    <row r="2375" spans="4:4" x14ac:dyDescent="0.2">
      <c r="D2375" s="1"/>
    </row>
    <row r="2376" spans="4:4" x14ac:dyDescent="0.2">
      <c r="D2376" s="1"/>
    </row>
    <row r="2377" spans="4:4" x14ac:dyDescent="0.2">
      <c r="D2377" s="1"/>
    </row>
    <row r="2378" spans="4:4" x14ac:dyDescent="0.2">
      <c r="D2378" s="1"/>
    </row>
    <row r="2379" spans="4:4" x14ac:dyDescent="0.2">
      <c r="D2379" s="1"/>
    </row>
    <row r="2380" spans="4:4" x14ac:dyDescent="0.2">
      <c r="D2380" s="1"/>
    </row>
    <row r="2381" spans="4:4" x14ac:dyDescent="0.2">
      <c r="D2381" s="1"/>
    </row>
    <row r="2383" spans="4:4" x14ac:dyDescent="0.2">
      <c r="D2383" s="1"/>
    </row>
    <row r="2384" spans="4:4" x14ac:dyDescent="0.2">
      <c r="D2384" s="1"/>
    </row>
    <row r="2385" spans="4:4" x14ac:dyDescent="0.2">
      <c r="D2385" s="1"/>
    </row>
    <row r="2386" spans="4:4" x14ac:dyDescent="0.2">
      <c r="D2386" s="1"/>
    </row>
    <row r="2387" spans="4:4" x14ac:dyDescent="0.2">
      <c r="D2387" s="1"/>
    </row>
    <row r="2389" spans="4:4" x14ac:dyDescent="0.2">
      <c r="D2389" s="1"/>
    </row>
    <row r="2391" spans="4:4" x14ac:dyDescent="0.2">
      <c r="D2391" s="1"/>
    </row>
    <row r="2393" spans="4:4" x14ac:dyDescent="0.2">
      <c r="D2393" s="1"/>
    </row>
    <row r="2394" spans="4:4" x14ac:dyDescent="0.2">
      <c r="D2394" s="1"/>
    </row>
    <row r="2396" spans="4:4" x14ac:dyDescent="0.2">
      <c r="D2396" s="1"/>
    </row>
    <row r="2397" spans="4:4" x14ac:dyDescent="0.2">
      <c r="D2397" s="1"/>
    </row>
    <row r="2403" spans="4:4" x14ac:dyDescent="0.2">
      <c r="D2403" s="1"/>
    </row>
    <row r="2405" spans="4:4" x14ac:dyDescent="0.2">
      <c r="D2405" s="1"/>
    </row>
    <row r="2407" spans="4:4" x14ac:dyDescent="0.2">
      <c r="D2407" s="1"/>
    </row>
    <row r="2411" spans="4:4" x14ac:dyDescent="0.2">
      <c r="D2411" s="1"/>
    </row>
    <row r="2428" spans="4:4" x14ac:dyDescent="0.2">
      <c r="D2428" s="1"/>
    </row>
    <row r="2431" spans="4:4" x14ac:dyDescent="0.2">
      <c r="D2431" s="1"/>
    </row>
    <row r="2447" spans="4:4" x14ac:dyDescent="0.2">
      <c r="D2447" s="1"/>
    </row>
  </sheetData>
  <mergeCells count="2">
    <mergeCell ref="A7:D7"/>
    <mergeCell ref="F7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034A9-08AA-416F-8489-A2935A133B4A}">
  <dimension ref="A2:H2447"/>
  <sheetViews>
    <sheetView topLeftCell="B216" workbookViewId="0">
      <selection activeCell="L20" sqref="L20"/>
    </sheetView>
  </sheetViews>
  <sheetFormatPr baseColWidth="10" defaultColWidth="8.83203125" defaultRowHeight="15" x14ac:dyDescent="0.2"/>
  <cols>
    <col min="1" max="1" width="16.1640625" customWidth="1"/>
    <col min="2" max="2" width="17.33203125" customWidth="1"/>
    <col min="3" max="3" width="14" customWidth="1"/>
    <col min="4" max="4" width="15.1640625" customWidth="1"/>
    <col min="5" max="5" width="10.33203125" customWidth="1"/>
    <col min="6" max="6" width="13.6640625" customWidth="1"/>
    <col min="7" max="7" width="12.6640625" customWidth="1"/>
  </cols>
  <sheetData>
    <row r="2" spans="1:8" x14ac:dyDescent="0.2">
      <c r="B2" t="s">
        <v>19</v>
      </c>
    </row>
    <row r="3" spans="1:8" x14ac:dyDescent="0.2"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8" x14ac:dyDescent="0.2">
      <c r="C4" s="1">
        <f>'sample info summary'!B6*10^-6</f>
        <v>8.2890000000000001E-5</v>
      </c>
      <c r="D4">
        <f>'sample info summary'!C6</f>
        <v>4.04</v>
      </c>
      <c r="E4">
        <f>'sample info summary'!D6</f>
        <v>4.03</v>
      </c>
      <c r="F4">
        <f>'sample info summary'!E6</f>
        <v>1E-4</v>
      </c>
      <c r="G4" s="1">
        <f>(D4*E4*F4)*0.000000001</f>
        <v>1.6281200000000003E-12</v>
      </c>
    </row>
    <row r="7" spans="1:8" x14ac:dyDescent="0.2">
      <c r="A7" s="17" t="s">
        <v>9</v>
      </c>
      <c r="B7" s="17"/>
      <c r="C7" s="17"/>
      <c r="D7" s="17"/>
      <c r="F7" s="17" t="s">
        <v>10</v>
      </c>
      <c r="G7" s="17"/>
      <c r="H7" s="17"/>
    </row>
    <row r="8" spans="1:8" x14ac:dyDescent="0.2">
      <c r="A8" t="s">
        <v>11</v>
      </c>
      <c r="B8" t="s">
        <v>12</v>
      </c>
      <c r="C8" t="s">
        <v>13</v>
      </c>
      <c r="D8" t="s">
        <v>14</v>
      </c>
      <c r="F8" t="s">
        <v>16</v>
      </c>
      <c r="G8" t="s">
        <v>15</v>
      </c>
      <c r="H8" t="s">
        <v>17</v>
      </c>
    </row>
    <row r="9" spans="1:8" x14ac:dyDescent="0.2">
      <c r="A9">
        <v>293.08250427246099</v>
      </c>
      <c r="B9">
        <v>-3.6318466067314203E-2</v>
      </c>
      <c r="C9" s="1">
        <v>5.9372081900913804E-6</v>
      </c>
      <c r="D9" s="1">
        <v>3.1077549767445602E-7</v>
      </c>
      <c r="F9">
        <f t="shared" ref="F9:F72" si="0">C9/1000</f>
        <v>5.9372081900913803E-9</v>
      </c>
      <c r="G9">
        <f t="shared" ref="G9:G72" si="1">(B9*1000)/(4*PI())</f>
        <v>-2.890131700064162</v>
      </c>
      <c r="H9">
        <f t="shared" ref="H9:H72" si="2">F9/$G$4</f>
        <v>3646.6649817528064</v>
      </c>
    </row>
    <row r="10" spans="1:8" x14ac:dyDescent="0.2">
      <c r="A10">
        <v>293.08094787597702</v>
      </c>
      <c r="B10">
        <v>0.58109542727470398</v>
      </c>
      <c r="C10" s="1">
        <v>6.49042727291623E-6</v>
      </c>
      <c r="D10" s="1">
        <v>2.9493713853365698E-7</v>
      </c>
      <c r="F10">
        <f t="shared" si="0"/>
        <v>6.4904272729162301E-9</v>
      </c>
      <c r="G10">
        <f t="shared" si="1"/>
        <v>46.24210482943306</v>
      </c>
      <c r="H10">
        <f t="shared" si="2"/>
        <v>3986.4550972386733</v>
      </c>
    </row>
    <row r="11" spans="1:8" x14ac:dyDescent="0.2">
      <c r="A11">
        <v>293.08258056640602</v>
      </c>
      <c r="B11">
        <v>0.60833430290222201</v>
      </c>
      <c r="C11" s="1">
        <v>6.4276546287991896E-6</v>
      </c>
      <c r="D11" s="1">
        <v>3.1514138899481898E-7</v>
      </c>
      <c r="F11">
        <f t="shared" si="0"/>
        <v>6.4276546287991893E-9</v>
      </c>
      <c r="G11">
        <f t="shared" si="1"/>
        <v>48.409705679625482</v>
      </c>
      <c r="H11">
        <f t="shared" si="2"/>
        <v>3947.8998039451562</v>
      </c>
    </row>
    <row r="12" spans="1:8" x14ac:dyDescent="0.2">
      <c r="A12">
        <v>293.08480834960898</v>
      </c>
      <c r="B12">
        <v>1.06231504678726</v>
      </c>
      <c r="C12" s="1">
        <v>6.7299261812237299E-6</v>
      </c>
      <c r="D12" s="1">
        <v>4.0102521167927201E-7</v>
      </c>
      <c r="F12">
        <f t="shared" si="0"/>
        <v>6.7299261812237298E-9</v>
      </c>
      <c r="G12">
        <f t="shared" si="1"/>
        <v>84.536345408545245</v>
      </c>
      <c r="H12">
        <f t="shared" si="2"/>
        <v>4133.5566059158591</v>
      </c>
    </row>
    <row r="13" spans="1:8" x14ac:dyDescent="0.2">
      <c r="A13">
        <v>293.08705139160202</v>
      </c>
      <c r="B13">
        <v>1.5253754854202299</v>
      </c>
      <c r="C13" s="1">
        <v>6.46649822294962E-6</v>
      </c>
      <c r="D13" s="1">
        <v>3.44331474059663E-7</v>
      </c>
      <c r="F13">
        <f t="shared" si="0"/>
        <v>6.4664982229496197E-9</v>
      </c>
      <c r="G13">
        <f t="shared" si="1"/>
        <v>121.38552428791446</v>
      </c>
      <c r="H13">
        <f t="shared" si="2"/>
        <v>3971.757746941023</v>
      </c>
    </row>
    <row r="14" spans="1:8" x14ac:dyDescent="0.2">
      <c r="A14">
        <v>293.09069824218801</v>
      </c>
      <c r="B14">
        <v>2.11555051803589</v>
      </c>
      <c r="C14" s="1">
        <v>6.8418937985053096E-6</v>
      </c>
      <c r="D14" s="1">
        <v>3.2391783658530701E-7</v>
      </c>
      <c r="F14">
        <f t="shared" si="0"/>
        <v>6.8418937985053097E-9</v>
      </c>
      <c r="G14">
        <f t="shared" si="1"/>
        <v>168.3501611530159</v>
      </c>
      <c r="H14">
        <f t="shared" si="2"/>
        <v>4202.3277144837657</v>
      </c>
    </row>
    <row r="15" spans="1:8" x14ac:dyDescent="0.2">
      <c r="A15">
        <v>293.09410095214798</v>
      </c>
      <c r="B15">
        <v>2.74204409122467</v>
      </c>
      <c r="C15" s="1">
        <v>7.0061540695335504E-6</v>
      </c>
      <c r="D15" s="1">
        <v>3.6829860890829298E-7</v>
      </c>
      <c r="F15">
        <f t="shared" si="0"/>
        <v>7.0061540695335504E-9</v>
      </c>
      <c r="G15">
        <f t="shared" si="1"/>
        <v>218.20493564716512</v>
      </c>
      <c r="H15">
        <f t="shared" si="2"/>
        <v>4303.2172502847143</v>
      </c>
    </row>
    <row r="16" spans="1:8" x14ac:dyDescent="0.2">
      <c r="A16">
        <v>293.09797668457003</v>
      </c>
      <c r="B16">
        <v>3.21418416500092</v>
      </c>
      <c r="C16" s="1">
        <v>6.5330359166536801E-6</v>
      </c>
      <c r="D16" s="1">
        <v>2.7460106674287297E-7</v>
      </c>
      <c r="F16">
        <f t="shared" si="0"/>
        <v>6.5330359166536797E-9</v>
      </c>
      <c r="G16">
        <f t="shared" si="1"/>
        <v>255.77664893379628</v>
      </c>
      <c r="H16">
        <f t="shared" si="2"/>
        <v>4012.6255538005053</v>
      </c>
    </row>
    <row r="17" spans="1:8" x14ac:dyDescent="0.2">
      <c r="A17">
        <v>293.09889221191401</v>
      </c>
      <c r="B17">
        <v>4.8485150337219203</v>
      </c>
      <c r="C17" s="1">
        <v>6.8104424727330299E-6</v>
      </c>
      <c r="D17" s="1">
        <v>3.2572979366200202E-7</v>
      </c>
      <c r="F17">
        <f t="shared" si="0"/>
        <v>6.8104424727330299E-9</v>
      </c>
      <c r="G17">
        <f t="shared" si="1"/>
        <v>385.83256713610564</v>
      </c>
      <c r="H17">
        <f t="shared" si="2"/>
        <v>4183.0101422088228</v>
      </c>
    </row>
    <row r="18" spans="1:8" x14ac:dyDescent="0.2">
      <c r="A18">
        <v>293.09922790527298</v>
      </c>
      <c r="B18">
        <v>5.35697364807129</v>
      </c>
      <c r="C18" s="1">
        <v>7.0001038512478603E-6</v>
      </c>
      <c r="D18" s="1">
        <v>3.11295038029504E-7</v>
      </c>
      <c r="F18">
        <f t="shared" si="0"/>
        <v>7.0001038512478605E-9</v>
      </c>
      <c r="G18">
        <f t="shared" si="1"/>
        <v>426.29441805178459</v>
      </c>
      <c r="H18">
        <f t="shared" si="2"/>
        <v>4299.5011738986432</v>
      </c>
    </row>
    <row r="19" spans="1:8" x14ac:dyDescent="0.2">
      <c r="A19">
        <v>293.09687805175798</v>
      </c>
      <c r="B19">
        <v>7.2455334663391104</v>
      </c>
      <c r="C19" s="1">
        <v>6.5188425255300802E-6</v>
      </c>
      <c r="D19" s="1">
        <v>3.6414321840717499E-7</v>
      </c>
      <c r="F19">
        <f t="shared" si="0"/>
        <v>6.5188425255300799E-9</v>
      </c>
      <c r="G19">
        <f t="shared" si="1"/>
        <v>576.58123325281213</v>
      </c>
      <c r="H19">
        <f t="shared" si="2"/>
        <v>4003.9078971636482</v>
      </c>
    </row>
    <row r="20" spans="1:8" x14ac:dyDescent="0.2">
      <c r="A20">
        <v>293.09651184082003</v>
      </c>
      <c r="B20">
        <v>8.8253870010375994</v>
      </c>
      <c r="C20" s="1">
        <v>7.4218864002328102E-6</v>
      </c>
      <c r="D20" s="1">
        <v>3.0053583323895598E-7</v>
      </c>
      <c r="F20">
        <f t="shared" si="0"/>
        <v>7.4218864002328104E-9</v>
      </c>
      <c r="G20">
        <f t="shared" si="1"/>
        <v>702.30198295704599</v>
      </c>
      <c r="H20">
        <f t="shared" si="2"/>
        <v>4558.562268280476</v>
      </c>
    </row>
    <row r="21" spans="1:8" x14ac:dyDescent="0.2">
      <c r="A21">
        <v>293.09507751464798</v>
      </c>
      <c r="B21">
        <v>10.940937519073501</v>
      </c>
      <c r="C21" s="1">
        <v>8.3751310030372504E-6</v>
      </c>
      <c r="D21" s="1">
        <v>3.2521863727570602E-7</v>
      </c>
      <c r="F21">
        <f t="shared" si="0"/>
        <v>8.375131003037251E-9</v>
      </c>
      <c r="G21">
        <f t="shared" si="1"/>
        <v>870.65214411006286</v>
      </c>
      <c r="H21">
        <f t="shared" si="2"/>
        <v>5144.0501947259718</v>
      </c>
    </row>
    <row r="22" spans="1:8" x14ac:dyDescent="0.2">
      <c r="A22">
        <v>293.09202575683599</v>
      </c>
      <c r="B22">
        <v>13.4832301139832</v>
      </c>
      <c r="C22" s="1">
        <v>8.9384949166378402E-6</v>
      </c>
      <c r="D22" s="1">
        <v>3.2645334431798498E-7</v>
      </c>
      <c r="F22">
        <f t="shared" si="0"/>
        <v>8.9384949166378407E-9</v>
      </c>
      <c r="G22">
        <f t="shared" si="1"/>
        <v>1072.9613607429628</v>
      </c>
      <c r="H22">
        <f t="shared" si="2"/>
        <v>5490.0713194591544</v>
      </c>
    </row>
    <row r="23" spans="1:8" x14ac:dyDescent="0.2">
      <c r="A23">
        <v>293.09162902832003</v>
      </c>
      <c r="B23">
        <v>16.62477684021</v>
      </c>
      <c r="C23" s="1">
        <v>8.9341201055930392E-6</v>
      </c>
      <c r="D23" s="1">
        <v>3.2064869014510999E-7</v>
      </c>
      <c r="F23">
        <f t="shared" si="0"/>
        <v>8.934120105593039E-9</v>
      </c>
      <c r="G23">
        <f t="shared" si="1"/>
        <v>1322.9577059595413</v>
      </c>
      <c r="H23">
        <f t="shared" si="2"/>
        <v>5487.3842871490042</v>
      </c>
    </row>
    <row r="24" spans="1:8" x14ac:dyDescent="0.2">
      <c r="A24">
        <v>293.08915710449202</v>
      </c>
      <c r="B24">
        <v>20.374658584594702</v>
      </c>
      <c r="C24" s="1">
        <v>1.04498626753131E-5</v>
      </c>
      <c r="D24" s="1">
        <v>3.75741808638899E-7</v>
      </c>
      <c r="F24">
        <f t="shared" si="0"/>
        <v>1.0449862675313099E-8</v>
      </c>
      <c r="G24">
        <f t="shared" si="1"/>
        <v>1621.3638137739833</v>
      </c>
      <c r="H24">
        <f t="shared" si="2"/>
        <v>6418.3614692486408</v>
      </c>
    </row>
    <row r="25" spans="1:8" x14ac:dyDescent="0.2">
      <c r="A25">
        <v>293.08880615234398</v>
      </c>
      <c r="B25">
        <v>25.141456604003899</v>
      </c>
      <c r="C25" s="1">
        <v>1.0920159342600701E-5</v>
      </c>
      <c r="D25" s="1">
        <v>3.1495461745013402E-7</v>
      </c>
      <c r="F25">
        <f t="shared" si="0"/>
        <v>1.0920159342600701E-8</v>
      </c>
      <c r="G25">
        <f t="shared" si="1"/>
        <v>2000.6935475287985</v>
      </c>
      <c r="H25">
        <f t="shared" si="2"/>
        <v>6707.2201942121574</v>
      </c>
    </row>
    <row r="26" spans="1:8" x14ac:dyDescent="0.2">
      <c r="A26">
        <v>293.08706665039102</v>
      </c>
      <c r="B26">
        <v>31.061367034912099</v>
      </c>
      <c r="C26" s="1">
        <v>1.1867159475109899E-5</v>
      </c>
      <c r="D26" s="1">
        <v>4.0057422066316502E-7</v>
      </c>
      <c r="F26">
        <f t="shared" si="0"/>
        <v>1.18671594751099E-8</v>
      </c>
      <c r="G26">
        <f t="shared" si="1"/>
        <v>2471.7850513989547</v>
      </c>
      <c r="H26">
        <f t="shared" si="2"/>
        <v>7288.8727336497905</v>
      </c>
    </row>
    <row r="27" spans="1:8" x14ac:dyDescent="0.2">
      <c r="A27">
        <v>293.08657836914102</v>
      </c>
      <c r="B27">
        <v>38.388616561889698</v>
      </c>
      <c r="C27" s="1">
        <v>1.2741110517506E-5</v>
      </c>
      <c r="D27" s="1">
        <v>3.0562391878608202E-7</v>
      </c>
      <c r="F27">
        <f t="shared" si="0"/>
        <v>1.2741110517506001E-8</v>
      </c>
      <c r="G27">
        <f t="shared" si="1"/>
        <v>3054.8690421420729</v>
      </c>
      <c r="H27">
        <f t="shared" si="2"/>
        <v>7825.658131775298</v>
      </c>
    </row>
    <row r="28" spans="1:8" x14ac:dyDescent="0.2">
      <c r="A28">
        <v>293.08444213867199</v>
      </c>
      <c r="B28">
        <v>47.114128112792997</v>
      </c>
      <c r="C28" s="1">
        <v>1.4163863632644299E-5</v>
      </c>
      <c r="D28" s="1">
        <v>3.1824719947070599E-7</v>
      </c>
      <c r="F28">
        <f t="shared" si="0"/>
        <v>1.4163863632644299E-8</v>
      </c>
      <c r="G28">
        <f t="shared" si="1"/>
        <v>3749.2231893079179</v>
      </c>
      <c r="H28">
        <f t="shared" si="2"/>
        <v>8699.5206942020832</v>
      </c>
    </row>
    <row r="29" spans="1:8" x14ac:dyDescent="0.2">
      <c r="A29">
        <v>293.08366394042997</v>
      </c>
      <c r="B29">
        <v>58.173101425170898</v>
      </c>
      <c r="C29" s="1">
        <v>1.6188564359251001E-5</v>
      </c>
      <c r="D29" s="1">
        <v>3.4569039338277098E-7</v>
      </c>
      <c r="F29">
        <f t="shared" si="0"/>
        <v>1.6188564359251002E-8</v>
      </c>
      <c r="G29">
        <f t="shared" si="1"/>
        <v>4629.2683234010647</v>
      </c>
      <c r="H29">
        <f t="shared" si="2"/>
        <v>9943.1026946729962</v>
      </c>
    </row>
    <row r="30" spans="1:8" x14ac:dyDescent="0.2">
      <c r="A30">
        <v>293.08241271972702</v>
      </c>
      <c r="B30">
        <v>71.647251129150405</v>
      </c>
      <c r="C30" s="1">
        <v>1.7808231059048901E-5</v>
      </c>
      <c r="D30" s="1">
        <v>3.6312032034143399E-7</v>
      </c>
      <c r="F30">
        <f t="shared" si="0"/>
        <v>1.7808231059048901E-8</v>
      </c>
      <c r="G30">
        <f t="shared" si="1"/>
        <v>5701.5070880753337</v>
      </c>
      <c r="H30">
        <f t="shared" si="2"/>
        <v>10937.910632538693</v>
      </c>
    </row>
    <row r="31" spans="1:8" x14ac:dyDescent="0.2">
      <c r="A31">
        <v>293.08082580566401</v>
      </c>
      <c r="B31">
        <v>88.299266815185504</v>
      </c>
      <c r="C31" s="1">
        <v>2.1567958803123101E-5</v>
      </c>
      <c r="D31" s="1">
        <v>3.3232198420885101E-7</v>
      </c>
      <c r="F31">
        <f t="shared" si="0"/>
        <v>2.1567958803123102E-8</v>
      </c>
      <c r="G31">
        <f t="shared" si="1"/>
        <v>7026.6323925134657</v>
      </c>
      <c r="H31">
        <f t="shared" si="2"/>
        <v>13247.155494142384</v>
      </c>
    </row>
    <row r="32" spans="1:8" x14ac:dyDescent="0.2">
      <c r="A32">
        <v>293.07955932617199</v>
      </c>
      <c r="B32">
        <v>108.592208862305</v>
      </c>
      <c r="C32" s="1">
        <v>2.47891426214344E-5</v>
      </c>
      <c r="D32" s="1">
        <v>2.5269856643621998E-7</v>
      </c>
      <c r="F32">
        <f t="shared" si="0"/>
        <v>2.4789142621434401E-8</v>
      </c>
      <c r="G32">
        <f t="shared" si="1"/>
        <v>8641.4934108516827</v>
      </c>
      <c r="H32">
        <f t="shared" si="2"/>
        <v>15225.623800109572</v>
      </c>
    </row>
    <row r="33" spans="1:8" x14ac:dyDescent="0.2">
      <c r="A33">
        <v>293.077880859375</v>
      </c>
      <c r="B33">
        <v>133.90618133544899</v>
      </c>
      <c r="C33" s="1">
        <v>3.0920162921725998E-5</v>
      </c>
      <c r="D33" s="1">
        <v>3.1410197370048402E-7</v>
      </c>
      <c r="F33">
        <f t="shared" si="0"/>
        <v>3.0920162921726E-8</v>
      </c>
      <c r="G33">
        <f t="shared" si="1"/>
        <v>10655.915335048201</v>
      </c>
      <c r="H33">
        <f t="shared" si="2"/>
        <v>18991.329215122962</v>
      </c>
    </row>
    <row r="34" spans="1:8" x14ac:dyDescent="0.2">
      <c r="A34">
        <v>293.07725524902298</v>
      </c>
      <c r="B34">
        <v>164.65884399414099</v>
      </c>
      <c r="C34" s="1">
        <v>3.7008921830892397E-5</v>
      </c>
      <c r="D34" s="1">
        <v>3.07290382711862E-7</v>
      </c>
      <c r="F34">
        <f t="shared" si="0"/>
        <v>3.7008921830892399E-8</v>
      </c>
      <c r="G34">
        <f t="shared" si="1"/>
        <v>13103.134472732392</v>
      </c>
      <c r="H34">
        <f t="shared" si="2"/>
        <v>22731.07745798368</v>
      </c>
    </row>
    <row r="35" spans="1:8" x14ac:dyDescent="0.2">
      <c r="A35">
        <v>293.07435607910202</v>
      </c>
      <c r="B35">
        <v>202.63887023925801</v>
      </c>
      <c r="C35" s="1">
        <v>4.5235138753867103E-5</v>
      </c>
      <c r="D35" s="1">
        <v>2.9404865747573999E-7</v>
      </c>
      <c r="F35">
        <f t="shared" si="0"/>
        <v>4.5235138753867104E-8</v>
      </c>
      <c r="G35">
        <f t="shared" si="1"/>
        <v>16125.488930567537</v>
      </c>
      <c r="H35">
        <f t="shared" si="2"/>
        <v>27783.663829365829</v>
      </c>
    </row>
    <row r="36" spans="1:8" x14ac:dyDescent="0.2">
      <c r="A36">
        <v>293.07493591308599</v>
      </c>
      <c r="B36">
        <v>249.22637939453099</v>
      </c>
      <c r="C36" s="1">
        <v>5.5395678763810499E-5</v>
      </c>
      <c r="D36" s="1">
        <v>2.95769713440467E-7</v>
      </c>
      <c r="F36">
        <f t="shared" si="0"/>
        <v>5.5395678763810496E-8</v>
      </c>
      <c r="G36">
        <f t="shared" si="1"/>
        <v>19832.805114767849</v>
      </c>
      <c r="H36">
        <f t="shared" si="2"/>
        <v>34024.321772234529</v>
      </c>
    </row>
    <row r="37" spans="1:8" x14ac:dyDescent="0.2">
      <c r="A37">
        <v>293.07157897949202</v>
      </c>
      <c r="B37">
        <v>306.71849060058599</v>
      </c>
      <c r="C37" s="1">
        <v>7.0124923159545398E-5</v>
      </c>
      <c r="D37" s="1">
        <v>3.0923955625061297E-7</v>
      </c>
      <c r="F37">
        <f t="shared" si="0"/>
        <v>7.0124923159545392E-8</v>
      </c>
      <c r="G37">
        <f t="shared" si="1"/>
        <v>24407.88195838415</v>
      </c>
      <c r="H37">
        <f t="shared" si="2"/>
        <v>43071.102350898815</v>
      </c>
    </row>
    <row r="38" spans="1:8" x14ac:dyDescent="0.2">
      <c r="A38">
        <v>293.06996154785202</v>
      </c>
      <c r="B38">
        <v>377.86639404296898</v>
      </c>
      <c r="C38" s="1">
        <v>8.8906945887232898E-5</v>
      </c>
      <c r="D38" s="1">
        <v>3.39277521893334E-7</v>
      </c>
      <c r="F38">
        <f t="shared" si="0"/>
        <v>8.8906945887232895E-8</v>
      </c>
      <c r="G38">
        <f t="shared" si="1"/>
        <v>30069.652220124215</v>
      </c>
      <c r="H38">
        <f t="shared" si="2"/>
        <v>54607.12102746289</v>
      </c>
    </row>
    <row r="39" spans="1:8" x14ac:dyDescent="0.2">
      <c r="A39">
        <v>293.06825256347702</v>
      </c>
      <c r="B39">
        <v>465.56639099121099</v>
      </c>
      <c r="C39">
        <v>1.14959114719311E-4</v>
      </c>
      <c r="D39" s="1">
        <v>3.1011967313039999E-7</v>
      </c>
      <c r="F39">
        <f t="shared" si="0"/>
        <v>1.14959114719311E-7</v>
      </c>
      <c r="G39">
        <f t="shared" si="1"/>
        <v>37048.596231852644</v>
      </c>
      <c r="H39">
        <f t="shared" si="2"/>
        <v>70608.502272136553</v>
      </c>
    </row>
    <row r="40" spans="1:8" x14ac:dyDescent="0.2">
      <c r="A40">
        <v>293.06338500976602</v>
      </c>
      <c r="B40">
        <v>573.47763061523403</v>
      </c>
      <c r="C40">
        <v>1.4353755636056499E-4</v>
      </c>
      <c r="D40" s="1">
        <v>3.8261032854347501E-7</v>
      </c>
      <c r="F40">
        <f t="shared" si="0"/>
        <v>1.4353755636056499E-7</v>
      </c>
      <c r="G40">
        <f t="shared" si="1"/>
        <v>45635.899832521274</v>
      </c>
      <c r="H40">
        <f t="shared" si="2"/>
        <v>88161.533769356654</v>
      </c>
    </row>
    <row r="41" spans="1:8" x14ac:dyDescent="0.2">
      <c r="A41">
        <v>293.06214904785202</v>
      </c>
      <c r="B41">
        <v>706.18533325195301</v>
      </c>
      <c r="C41">
        <v>1.87371132147734E-4</v>
      </c>
      <c r="D41" s="1">
        <v>3.4096553031598702E-7</v>
      </c>
      <c r="F41">
        <f t="shared" si="0"/>
        <v>1.87371132147734E-7</v>
      </c>
      <c r="G41">
        <f t="shared" si="1"/>
        <v>56196.443263022862</v>
      </c>
      <c r="H41">
        <f t="shared" si="2"/>
        <v>115084.350138647</v>
      </c>
    </row>
    <row r="42" spans="1:8" x14ac:dyDescent="0.2">
      <c r="A42">
        <v>293.05987548828102</v>
      </c>
      <c r="B42">
        <v>869.93615722656295</v>
      </c>
      <c r="C42">
        <v>2.3832204321627801E-4</v>
      </c>
      <c r="D42" s="1">
        <v>2.9880554239010202E-7</v>
      </c>
      <c r="F42">
        <f t="shared" si="0"/>
        <v>2.3832204321627801E-7</v>
      </c>
      <c r="G42">
        <f t="shared" si="1"/>
        <v>69227.319798487879</v>
      </c>
      <c r="H42">
        <f t="shared" si="2"/>
        <v>146378.67185236834</v>
      </c>
    </row>
    <row r="43" spans="1:8" x14ac:dyDescent="0.2">
      <c r="A43">
        <v>293.05856323242199</v>
      </c>
      <c r="B43">
        <v>1071.10412597656</v>
      </c>
      <c r="C43">
        <v>2.9688282546181798E-4</v>
      </c>
      <c r="D43" s="1">
        <v>3.2227218484890899E-7</v>
      </c>
      <c r="F43">
        <f t="shared" si="0"/>
        <v>2.9688282546181801E-7</v>
      </c>
      <c r="G43">
        <f t="shared" si="1"/>
        <v>85235.758107646849</v>
      </c>
      <c r="H43">
        <f t="shared" si="2"/>
        <v>182347.01708830919</v>
      </c>
    </row>
    <row r="44" spans="1:8" x14ac:dyDescent="0.2">
      <c r="A44">
        <v>293.05380249023398</v>
      </c>
      <c r="B44">
        <v>1319.2954711914099</v>
      </c>
      <c r="C44">
        <v>3.5239336668400998E-4</v>
      </c>
      <c r="D44" s="1">
        <v>3.0264150322908198E-7</v>
      </c>
      <c r="F44">
        <f t="shared" si="0"/>
        <v>3.5239336668401E-7</v>
      </c>
      <c r="G44">
        <f t="shared" si="1"/>
        <v>104986.19781943205</v>
      </c>
      <c r="H44">
        <f t="shared" si="2"/>
        <v>216441.8879959769</v>
      </c>
    </row>
    <row r="45" spans="1:8" x14ac:dyDescent="0.2">
      <c r="A45">
        <v>293.05081176757801</v>
      </c>
      <c r="B45">
        <v>1624.6974487304699</v>
      </c>
      <c r="C45">
        <v>4.0239542708083998E-4</v>
      </c>
      <c r="D45" s="1">
        <v>3.3117652594376302E-7</v>
      </c>
      <c r="F45">
        <f t="shared" si="0"/>
        <v>4.0239542708083996E-7</v>
      </c>
      <c r="G45">
        <f t="shared" si="1"/>
        <v>129289.31499712274</v>
      </c>
      <c r="H45">
        <f t="shared" si="2"/>
        <v>247153.42055919702</v>
      </c>
    </row>
    <row r="46" spans="1:8" x14ac:dyDescent="0.2">
      <c r="A46">
        <v>293.05041503906301</v>
      </c>
      <c r="B46">
        <v>2001.8192749023401</v>
      </c>
      <c r="C46">
        <v>4.4785327317112299E-4</v>
      </c>
      <c r="D46" s="1">
        <v>2.9133216935128302E-7</v>
      </c>
      <c r="F46">
        <f t="shared" si="0"/>
        <v>4.4785327317112299E-7</v>
      </c>
      <c r="G46">
        <f t="shared" si="1"/>
        <v>159299.71638867055</v>
      </c>
      <c r="H46">
        <f t="shared" si="2"/>
        <v>275073.87242409826</v>
      </c>
    </row>
    <row r="47" spans="1:8" x14ac:dyDescent="0.2">
      <c r="A47">
        <v>293.04725646972702</v>
      </c>
      <c r="B47">
        <v>2464.3260498046898</v>
      </c>
      <c r="C47">
        <v>4.8923908565291405E-4</v>
      </c>
      <c r="D47" s="1">
        <v>3.1693365696524099E-7</v>
      </c>
      <c r="F47">
        <f t="shared" si="0"/>
        <v>4.8923908565291409E-7</v>
      </c>
      <c r="G47">
        <f t="shared" si="1"/>
        <v>196104.83610827033</v>
      </c>
      <c r="H47">
        <f t="shared" si="2"/>
        <v>300493.25949740433</v>
      </c>
    </row>
    <row r="48" spans="1:8" x14ac:dyDescent="0.2">
      <c r="A48">
        <v>293.04278564453102</v>
      </c>
      <c r="B48">
        <v>3035.14306640625</v>
      </c>
      <c r="C48">
        <v>5.2805307514363796E-4</v>
      </c>
      <c r="D48" s="1">
        <v>3.2580829454497701E-7</v>
      </c>
      <c r="F48">
        <f t="shared" si="0"/>
        <v>5.2805307514363795E-7</v>
      </c>
      <c r="G48">
        <f t="shared" si="1"/>
        <v>241529.01100482373</v>
      </c>
      <c r="H48">
        <f t="shared" si="2"/>
        <v>324333.0191531569</v>
      </c>
    </row>
    <row r="49" spans="1:8" x14ac:dyDescent="0.2">
      <c r="A49">
        <v>293.03869628906301</v>
      </c>
      <c r="B49">
        <v>3738.22314453125</v>
      </c>
      <c r="C49">
        <v>5.6328882710608599E-4</v>
      </c>
      <c r="D49" s="1">
        <v>3.4438975761666899E-7</v>
      </c>
      <c r="F49">
        <f t="shared" si="0"/>
        <v>5.63288827106086E-7</v>
      </c>
      <c r="G49">
        <f t="shared" si="1"/>
        <v>297478.34591633856</v>
      </c>
      <c r="H49">
        <f t="shared" si="2"/>
        <v>345975.00620721193</v>
      </c>
    </row>
    <row r="50" spans="1:8" x14ac:dyDescent="0.2">
      <c r="A50">
        <v>293.03598022460898</v>
      </c>
      <c r="B50">
        <v>4603.37451171875</v>
      </c>
      <c r="C50">
        <v>5.9685317641533498E-4</v>
      </c>
      <c r="D50" s="1">
        <v>3.50494757290353E-7</v>
      </c>
      <c r="F50">
        <f t="shared" si="0"/>
        <v>5.9685317641533502E-7</v>
      </c>
      <c r="G50">
        <f t="shared" si="1"/>
        <v>366324.90422163956</v>
      </c>
      <c r="H50">
        <f t="shared" si="2"/>
        <v>366590.40882449382</v>
      </c>
    </row>
    <row r="51" spans="1:8" x14ac:dyDescent="0.2">
      <c r="A51">
        <v>293.03454589843801</v>
      </c>
      <c r="B51">
        <v>5669.72998046875</v>
      </c>
      <c r="C51">
        <v>6.26391099851689E-4</v>
      </c>
      <c r="D51" s="1">
        <v>3.2417694812381999E-7</v>
      </c>
      <c r="F51">
        <f t="shared" si="0"/>
        <v>6.2639109985168904E-7</v>
      </c>
      <c r="G51">
        <f t="shared" si="1"/>
        <v>451182.77619395842</v>
      </c>
      <c r="H51">
        <f t="shared" si="2"/>
        <v>384732.75916498102</v>
      </c>
    </row>
    <row r="52" spans="1:8" x14ac:dyDescent="0.2">
      <c r="A52">
        <v>293.02992248535202</v>
      </c>
      <c r="B52">
        <v>6982.1794433593795</v>
      </c>
      <c r="C52">
        <v>6.5249640532757198E-4</v>
      </c>
      <c r="D52" s="1">
        <v>2.90517202501257E-7</v>
      </c>
      <c r="F52">
        <f t="shared" si="0"/>
        <v>6.5249640532757197E-7</v>
      </c>
      <c r="G52">
        <f t="shared" si="1"/>
        <v>555624.18598263175</v>
      </c>
      <c r="H52">
        <f t="shared" si="2"/>
        <v>400766.77722008934</v>
      </c>
    </row>
    <row r="53" spans="1:8" x14ac:dyDescent="0.2">
      <c r="A53">
        <v>293.02455139160202</v>
      </c>
      <c r="B53">
        <v>8599.14111328125</v>
      </c>
      <c r="C53">
        <v>6.75362013275108E-4</v>
      </c>
      <c r="D53" s="1">
        <v>3.5010750626555003E-7</v>
      </c>
      <c r="F53">
        <f t="shared" si="0"/>
        <v>6.7536201327510802E-7</v>
      </c>
      <c r="G53">
        <f t="shared" si="1"/>
        <v>684297.90726172749</v>
      </c>
      <c r="H53">
        <f t="shared" si="2"/>
        <v>414810.95574964245</v>
      </c>
    </row>
    <row r="54" spans="1:8" x14ac:dyDescent="0.2">
      <c r="A54">
        <v>293.02230834960898</v>
      </c>
      <c r="B54">
        <v>10589.874511718701</v>
      </c>
      <c r="C54">
        <v>6.9442839026111897E-4</v>
      </c>
      <c r="D54" s="1">
        <v>3.46293525186288E-7</v>
      </c>
      <c r="F54">
        <f t="shared" si="0"/>
        <v>6.9442839026111902E-7</v>
      </c>
      <c r="G54">
        <f t="shared" si="1"/>
        <v>842715.43763145141</v>
      </c>
      <c r="H54">
        <f t="shared" si="2"/>
        <v>426521.6263304418</v>
      </c>
    </row>
    <row r="55" spans="1:8" x14ac:dyDescent="0.2">
      <c r="A55">
        <v>293.01742553710898</v>
      </c>
      <c r="B55">
        <v>13041.5341796875</v>
      </c>
      <c r="C55">
        <v>7.0844888718356205E-4</v>
      </c>
      <c r="D55" s="1">
        <v>5.4858961597310305E-7</v>
      </c>
      <c r="F55">
        <f t="shared" si="0"/>
        <v>7.0844888718356205E-7</v>
      </c>
      <c r="G55">
        <f t="shared" si="1"/>
        <v>1037812.315099586</v>
      </c>
      <c r="H55">
        <f t="shared" si="2"/>
        <v>435133.09042549809</v>
      </c>
    </row>
    <row r="56" spans="1:8" x14ac:dyDescent="0.2">
      <c r="A56">
        <v>293.01351928710898</v>
      </c>
      <c r="B56">
        <v>16061.368652343799</v>
      </c>
      <c r="C56">
        <v>7.1631616133563695E-4</v>
      </c>
      <c r="D56" s="1">
        <v>4.33093807450483E-7</v>
      </c>
      <c r="F56">
        <f t="shared" si="0"/>
        <v>7.1631616133563691E-7</v>
      </c>
      <c r="G56">
        <f t="shared" si="1"/>
        <v>1278123.1069208644</v>
      </c>
      <c r="H56">
        <f t="shared" si="2"/>
        <v>439965.21222983365</v>
      </c>
    </row>
    <row r="57" spans="1:8" x14ac:dyDescent="0.2">
      <c r="A57">
        <v>293.00944519042997</v>
      </c>
      <c r="B57">
        <v>19779.8896484375</v>
      </c>
      <c r="C57">
        <v>7.1608899966971195E-4</v>
      </c>
      <c r="D57" s="1">
        <v>4.6375753119585901E-7</v>
      </c>
      <c r="F57">
        <f t="shared" si="0"/>
        <v>7.1608899966971192E-7</v>
      </c>
      <c r="G57">
        <f t="shared" si="1"/>
        <v>1574033.6056805199</v>
      </c>
      <c r="H57">
        <f t="shared" si="2"/>
        <v>439825.68832132261</v>
      </c>
    </row>
    <row r="58" spans="1:8" x14ac:dyDescent="0.2">
      <c r="A58">
        <v>293.00520324707003</v>
      </c>
      <c r="B58">
        <v>24359.3564453125</v>
      </c>
      <c r="C58">
        <v>7.0761450332078898E-4</v>
      </c>
      <c r="D58" s="1">
        <v>5.8417575628544205E-7</v>
      </c>
      <c r="F58">
        <f t="shared" si="0"/>
        <v>7.0761450332078895E-7</v>
      </c>
      <c r="G58">
        <f t="shared" si="1"/>
        <v>1938455.9944044524</v>
      </c>
      <c r="H58">
        <f t="shared" si="2"/>
        <v>434620.60740043042</v>
      </c>
    </row>
    <row r="59" spans="1:8" x14ac:dyDescent="0.2">
      <c r="A59">
        <v>293.00205993652298</v>
      </c>
      <c r="B59">
        <v>29999.615234375</v>
      </c>
      <c r="C59">
        <v>6.8743037165838598E-4</v>
      </c>
      <c r="D59" s="1">
        <v>9.0076390929993402E-7</v>
      </c>
      <c r="F59">
        <f t="shared" si="0"/>
        <v>6.8743037165838593E-7</v>
      </c>
      <c r="G59">
        <f t="shared" si="1"/>
        <v>2387293.5277028549</v>
      </c>
      <c r="H59">
        <f t="shared" si="2"/>
        <v>422223.4059273185</v>
      </c>
    </row>
    <row r="60" spans="1:8" x14ac:dyDescent="0.2">
      <c r="A60">
        <v>292.99781799316401</v>
      </c>
      <c r="B60">
        <v>24359.4580078125</v>
      </c>
      <c r="C60">
        <v>7.0968982258768905E-4</v>
      </c>
      <c r="D60" s="1">
        <v>7.80102933155354E-7</v>
      </c>
      <c r="F60">
        <f t="shared" si="0"/>
        <v>7.0968982258768902E-7</v>
      </c>
      <c r="G60">
        <f t="shared" si="1"/>
        <v>1938464.0764914064</v>
      </c>
      <c r="H60">
        <f t="shared" si="2"/>
        <v>435895.27957870974</v>
      </c>
    </row>
    <row r="61" spans="1:8" x14ac:dyDescent="0.2">
      <c r="A61">
        <v>292.99397277832003</v>
      </c>
      <c r="B61">
        <v>19779.8251953125</v>
      </c>
      <c r="C61">
        <v>7.1769321693493197E-4</v>
      </c>
      <c r="D61" s="1">
        <v>6.8456398703225204E-7</v>
      </c>
      <c r="F61">
        <f t="shared" si="0"/>
        <v>7.1769321693493197E-7</v>
      </c>
      <c r="G61">
        <f t="shared" si="1"/>
        <v>1574028.4766637993</v>
      </c>
      <c r="H61">
        <f t="shared" si="2"/>
        <v>440811.00713395316</v>
      </c>
    </row>
    <row r="62" spans="1:8" x14ac:dyDescent="0.2">
      <c r="A62">
        <v>292.99197387695301</v>
      </c>
      <c r="B62">
        <v>16061.287109375</v>
      </c>
      <c r="C62">
        <v>7.1842391862999503E-4</v>
      </c>
      <c r="D62" s="1">
        <v>6.1444829496089001E-7</v>
      </c>
      <c r="F62">
        <f t="shared" si="0"/>
        <v>7.1842391862999507E-7</v>
      </c>
      <c r="G62">
        <f t="shared" si="1"/>
        <v>1278116.6179375851</v>
      </c>
      <c r="H62">
        <f t="shared" si="2"/>
        <v>441259.80801783339</v>
      </c>
    </row>
    <row r="63" spans="1:8" x14ac:dyDescent="0.2">
      <c r="A63">
        <v>292.99189758300798</v>
      </c>
      <c r="B63">
        <v>13041.642578125</v>
      </c>
      <c r="C63">
        <v>7.1112004682669799E-4</v>
      </c>
      <c r="D63" s="1">
        <v>4.9523561969276503E-7</v>
      </c>
      <c r="F63">
        <f t="shared" si="0"/>
        <v>7.1112004682669795E-7</v>
      </c>
      <c r="G63">
        <f t="shared" si="1"/>
        <v>1037820.9411731618</v>
      </c>
      <c r="H63">
        <f t="shared" si="2"/>
        <v>436773.73094532208</v>
      </c>
    </row>
    <row r="64" spans="1:8" x14ac:dyDescent="0.2">
      <c r="A64">
        <v>292.99125671386702</v>
      </c>
      <c r="B64">
        <v>10589.892578125</v>
      </c>
      <c r="C64">
        <v>6.9723842666202795E-4</v>
      </c>
      <c r="D64" s="1">
        <v>4.1867398527774002E-7</v>
      </c>
      <c r="F64">
        <f t="shared" si="0"/>
        <v>6.9723842666202795E-7</v>
      </c>
      <c r="G64">
        <f t="shared" si="1"/>
        <v>842716.87531038467</v>
      </c>
      <c r="H64">
        <f t="shared" si="2"/>
        <v>428247.56569664879</v>
      </c>
    </row>
    <row r="65" spans="1:8" x14ac:dyDescent="0.2">
      <c r="A65">
        <v>292.98893737792997</v>
      </c>
      <c r="B65">
        <v>8599.12255859375</v>
      </c>
      <c r="C65">
        <v>6.7942374345967996E-4</v>
      </c>
      <c r="D65" s="1">
        <v>4.8794557522731798E-7</v>
      </c>
      <c r="F65">
        <f t="shared" si="0"/>
        <v>6.7942374345967997E-7</v>
      </c>
      <c r="G65">
        <f t="shared" si="1"/>
        <v>684296.43072661082</v>
      </c>
      <c r="H65">
        <f t="shared" si="2"/>
        <v>417305.69212323404</v>
      </c>
    </row>
    <row r="66" spans="1:8" x14ac:dyDescent="0.2">
      <c r="A66">
        <v>292.98797607421898</v>
      </c>
      <c r="B66">
        <v>6982.0339355468705</v>
      </c>
      <c r="C66">
        <v>6.5862939964720995E-4</v>
      </c>
      <c r="D66" s="1">
        <v>4.6446116606569901E-7</v>
      </c>
      <c r="F66">
        <f t="shared" si="0"/>
        <v>6.5862939964720999E-7</v>
      </c>
      <c r="G66">
        <f t="shared" si="1"/>
        <v>555612.60683882213</v>
      </c>
      <c r="H66">
        <f t="shared" si="2"/>
        <v>404533.69508832879</v>
      </c>
    </row>
    <row r="67" spans="1:8" x14ac:dyDescent="0.2">
      <c r="A67">
        <v>292.98692321777298</v>
      </c>
      <c r="B67">
        <v>5669.36669921875</v>
      </c>
      <c r="C67">
        <v>6.3359568913348696E-4</v>
      </c>
      <c r="D67" s="1">
        <v>3.7210620664829399E-7</v>
      </c>
      <c r="F67">
        <f t="shared" si="0"/>
        <v>6.3359568913348698E-7</v>
      </c>
      <c r="G67">
        <f t="shared" si="1"/>
        <v>451153.86719062336</v>
      </c>
      <c r="H67">
        <f t="shared" si="2"/>
        <v>389157.85638250672</v>
      </c>
    </row>
    <row r="68" spans="1:8" x14ac:dyDescent="0.2">
      <c r="A68">
        <v>292.98733520507801</v>
      </c>
      <c r="B68">
        <v>4603.31103515625</v>
      </c>
      <c r="C68">
        <v>6.068590409935E-4</v>
      </c>
      <c r="D68" s="1">
        <v>3.6953664700954699E-7</v>
      </c>
      <c r="F68">
        <f t="shared" si="0"/>
        <v>6.0685904099350001E-7</v>
      </c>
      <c r="G68">
        <f t="shared" si="1"/>
        <v>366319.85291729338</v>
      </c>
      <c r="H68">
        <f t="shared" si="2"/>
        <v>372736.06429102272</v>
      </c>
    </row>
    <row r="69" spans="1:8" x14ac:dyDescent="0.2">
      <c r="A69">
        <v>292.98660278320301</v>
      </c>
      <c r="B69">
        <v>3737.8056640625</v>
      </c>
      <c r="C69">
        <v>5.77754137433321E-4</v>
      </c>
      <c r="D69" s="1">
        <v>3.37806776329241E-7</v>
      </c>
      <c r="F69">
        <f t="shared" si="0"/>
        <v>5.7775413743332095E-7</v>
      </c>
      <c r="G69">
        <f t="shared" si="1"/>
        <v>297445.12387621566</v>
      </c>
      <c r="H69">
        <f t="shared" si="2"/>
        <v>354859.67707129748</v>
      </c>
    </row>
    <row r="70" spans="1:8" x14ac:dyDescent="0.2">
      <c r="A70">
        <v>292.98474121093699</v>
      </c>
      <c r="B70">
        <v>3034.7525634765602</v>
      </c>
      <c r="C70">
        <v>5.4794208093486595E-4</v>
      </c>
      <c r="D70" s="1">
        <v>3.5037739744978299E-7</v>
      </c>
      <c r="F70">
        <f t="shared" si="0"/>
        <v>5.4794208093486597E-7</v>
      </c>
      <c r="G70">
        <f t="shared" si="1"/>
        <v>241497.93576904773</v>
      </c>
      <c r="H70">
        <f t="shared" si="2"/>
        <v>336548.95273988764</v>
      </c>
    </row>
    <row r="71" spans="1:8" x14ac:dyDescent="0.2">
      <c r="A71">
        <v>292.98405456542997</v>
      </c>
      <c r="B71">
        <v>2464.2349853515602</v>
      </c>
      <c r="C71">
        <v>5.1662008009235102E-4</v>
      </c>
      <c r="D71" s="1">
        <v>3.34028946066573E-7</v>
      </c>
      <c r="F71">
        <f t="shared" si="0"/>
        <v>5.16620080092351E-7</v>
      </c>
      <c r="G71">
        <f t="shared" si="1"/>
        <v>196097.58942934257</v>
      </c>
      <c r="H71">
        <f t="shared" si="2"/>
        <v>317310.81252754765</v>
      </c>
    </row>
    <row r="72" spans="1:8" x14ac:dyDescent="0.2">
      <c r="A72">
        <v>292.98585510253901</v>
      </c>
      <c r="B72">
        <v>2000.7932739257801</v>
      </c>
      <c r="C72">
        <v>4.8618378443631701E-4</v>
      </c>
      <c r="D72" s="1">
        <v>3.3376932180860399E-7</v>
      </c>
      <c r="F72">
        <f t="shared" si="0"/>
        <v>4.8618378443631699E-7</v>
      </c>
      <c r="G72">
        <f t="shared" si="1"/>
        <v>159218.06982515226</v>
      </c>
      <c r="H72">
        <f t="shared" si="2"/>
        <v>298616.67717141053</v>
      </c>
    </row>
    <row r="73" spans="1:8" x14ac:dyDescent="0.2">
      <c r="A73">
        <v>292.98506164550798</v>
      </c>
      <c r="B73">
        <v>1624.85180664062</v>
      </c>
      <c r="C73">
        <v>4.5455167688016599E-4</v>
      </c>
      <c r="D73" s="1">
        <v>3.6793270108225398E-7</v>
      </c>
      <c r="F73">
        <f t="shared" ref="F73:F136" si="3">C73/1000</f>
        <v>4.5455167688016601E-7</v>
      </c>
      <c r="G73">
        <f t="shared" ref="G73:G136" si="4">(B73*1000)/(4*PI())</f>
        <v>129301.59840932561</v>
      </c>
      <c r="H73">
        <f t="shared" ref="H73:H136" si="5">F73/$G$4</f>
        <v>279188.06775923516</v>
      </c>
    </row>
    <row r="74" spans="1:8" x14ac:dyDescent="0.2">
      <c r="A74">
        <v>292.98493957519503</v>
      </c>
      <c r="B74">
        <v>1319.2046508789099</v>
      </c>
      <c r="C74">
        <v>4.2486907161439001E-4</v>
      </c>
      <c r="D74" s="1">
        <v>3.3899483171578498E-7</v>
      </c>
      <c r="F74">
        <f t="shared" si="3"/>
        <v>4.2486907161438999E-7</v>
      </c>
      <c r="G74">
        <f t="shared" si="4"/>
        <v>104978.97056859829</v>
      </c>
      <c r="H74">
        <f t="shared" si="5"/>
        <v>260956.85306635255</v>
      </c>
    </row>
    <row r="75" spans="1:8" x14ac:dyDescent="0.2">
      <c r="A75">
        <v>292.98458862304699</v>
      </c>
      <c r="B75">
        <v>1071.24938964844</v>
      </c>
      <c r="C75">
        <v>3.9588075410883802E-4</v>
      </c>
      <c r="D75" s="1">
        <v>2.8953639092326699E-7</v>
      </c>
      <c r="F75">
        <f t="shared" si="3"/>
        <v>3.9588075410883802E-7</v>
      </c>
      <c r="G75">
        <f t="shared" si="4"/>
        <v>85247.317823362551</v>
      </c>
      <c r="H75">
        <f t="shared" si="5"/>
        <v>243152.07362408048</v>
      </c>
    </row>
    <row r="76" spans="1:8" x14ac:dyDescent="0.2">
      <c r="A76">
        <v>292.98426818847702</v>
      </c>
      <c r="B76">
        <v>869.84539794921898</v>
      </c>
      <c r="C76">
        <v>3.6782991156842E-4</v>
      </c>
      <c r="D76" s="1">
        <v>3.3859640152411698E-7</v>
      </c>
      <c r="F76">
        <f t="shared" si="3"/>
        <v>3.6782991156842001E-7</v>
      </c>
      <c r="G76">
        <f t="shared" si="4"/>
        <v>69220.097404677508</v>
      </c>
      <c r="H76">
        <f t="shared" si="5"/>
        <v>225923.09631256905</v>
      </c>
    </row>
    <row r="77" spans="1:8" x14ac:dyDescent="0.2">
      <c r="A77">
        <v>292.98257446289102</v>
      </c>
      <c r="B77">
        <v>706.08541870117199</v>
      </c>
      <c r="C77">
        <v>3.4330340641832102E-4</v>
      </c>
      <c r="D77" s="1">
        <v>2.7569051279483799E-7</v>
      </c>
      <c r="F77">
        <f t="shared" si="3"/>
        <v>3.4330340641832102E-7</v>
      </c>
      <c r="G77">
        <f t="shared" si="4"/>
        <v>56188.492315701063</v>
      </c>
      <c r="H77">
        <f t="shared" si="5"/>
        <v>210858.78585013447</v>
      </c>
    </row>
    <row r="78" spans="1:8" x14ac:dyDescent="0.2">
      <c r="A78">
        <v>292.98318481445301</v>
      </c>
      <c r="B78">
        <v>573.05996704101597</v>
      </c>
      <c r="C78">
        <v>3.2042064113998098E-4</v>
      </c>
      <c r="D78" s="1">
        <v>3.3857634468975399E-7</v>
      </c>
      <c r="F78">
        <f t="shared" si="3"/>
        <v>3.2042064113998098E-7</v>
      </c>
      <c r="G78">
        <f t="shared" si="4"/>
        <v>45602.663221328155</v>
      </c>
      <c r="H78">
        <f t="shared" si="5"/>
        <v>196804.06919636202</v>
      </c>
    </row>
    <row r="79" spans="1:8" x14ac:dyDescent="0.2">
      <c r="A79">
        <v>292.98341369628901</v>
      </c>
      <c r="B79">
        <v>465.20323181152298</v>
      </c>
      <c r="C79">
        <v>2.9770659085430798E-4</v>
      </c>
      <c r="D79" s="1">
        <v>3.2541807327837098E-7</v>
      </c>
      <c r="F79">
        <f t="shared" si="3"/>
        <v>2.9770659085430801E-7</v>
      </c>
      <c r="G79">
        <f t="shared" si="4"/>
        <v>37019.696942564369</v>
      </c>
      <c r="H79">
        <f t="shared" si="5"/>
        <v>182852.9781922143</v>
      </c>
    </row>
    <row r="80" spans="1:8" x14ac:dyDescent="0.2">
      <c r="A80">
        <v>292.98564147949202</v>
      </c>
      <c r="B80">
        <v>377.97532653808599</v>
      </c>
      <c r="C80">
        <v>2.7793765459118298E-4</v>
      </c>
      <c r="D80" s="1">
        <v>3.45749158938082E-7</v>
      </c>
      <c r="F80">
        <f t="shared" si="3"/>
        <v>2.7793765459118297E-7</v>
      </c>
      <c r="G80">
        <f t="shared" si="4"/>
        <v>30078.320792654817</v>
      </c>
      <c r="H80">
        <f t="shared" si="5"/>
        <v>170710.79195095136</v>
      </c>
    </row>
    <row r="81" spans="1:8" x14ac:dyDescent="0.2">
      <c r="A81">
        <v>292.98472595214798</v>
      </c>
      <c r="B81">
        <v>306.59140014648398</v>
      </c>
      <c r="C81">
        <v>2.6324808323927799E-4</v>
      </c>
      <c r="D81" s="1">
        <v>3.8399566563414302E-7</v>
      </c>
      <c r="F81">
        <f t="shared" si="3"/>
        <v>2.6324808323927798E-7</v>
      </c>
      <c r="G81">
        <f t="shared" si="4"/>
        <v>24397.768421389086</v>
      </c>
      <c r="H81">
        <f t="shared" si="5"/>
        <v>161688.37876770628</v>
      </c>
    </row>
    <row r="82" spans="1:8" x14ac:dyDescent="0.2">
      <c r="A82">
        <v>292.98434448242199</v>
      </c>
      <c r="B82">
        <v>248.83595275878901</v>
      </c>
      <c r="C82">
        <v>2.4719331609424501E-4</v>
      </c>
      <c r="D82" s="1">
        <v>3.9877378578588398E-7</v>
      </c>
      <c r="F82">
        <f t="shared" si="3"/>
        <v>2.4719331609424501E-7</v>
      </c>
      <c r="G82">
        <f t="shared" si="4"/>
        <v>19801.735950271312</v>
      </c>
      <c r="H82">
        <f t="shared" si="5"/>
        <v>151827.45503663426</v>
      </c>
    </row>
    <row r="83" spans="1:8" x14ac:dyDescent="0.2">
      <c r="A83">
        <v>292.98255920410202</v>
      </c>
      <c r="B83">
        <v>202.17581176757801</v>
      </c>
      <c r="C83">
        <v>2.3440193231170399E-4</v>
      </c>
      <c r="D83" s="1">
        <v>3.5682514240144502E-7</v>
      </c>
      <c r="F83">
        <f t="shared" si="3"/>
        <v>2.34401932311704E-7</v>
      </c>
      <c r="G83">
        <f t="shared" si="4"/>
        <v>16088.639908213312</v>
      </c>
      <c r="H83">
        <f t="shared" si="5"/>
        <v>143970.91879695843</v>
      </c>
    </row>
    <row r="84" spans="1:8" x14ac:dyDescent="0.2">
      <c r="A84">
        <v>292.98301696777298</v>
      </c>
      <c r="B84">
        <v>163.95970153808599</v>
      </c>
      <c r="C84">
        <v>2.24426018334566E-4</v>
      </c>
      <c r="D84" s="1">
        <v>3.5011509771012698E-7</v>
      </c>
      <c r="F84">
        <f t="shared" si="3"/>
        <v>2.2442601833456601E-7</v>
      </c>
      <c r="G84">
        <f t="shared" si="4"/>
        <v>13047.498483829111</v>
      </c>
      <c r="H84">
        <f t="shared" si="5"/>
        <v>137843.65914955037</v>
      </c>
    </row>
    <row r="85" spans="1:8" x14ac:dyDescent="0.2">
      <c r="A85">
        <v>292.98248291015602</v>
      </c>
      <c r="B85">
        <v>133.40679931640599</v>
      </c>
      <c r="C85">
        <v>2.1488392287845299E-4</v>
      </c>
      <c r="D85" s="1">
        <v>2.5071743521689599E-7</v>
      </c>
      <c r="F85">
        <f t="shared" si="3"/>
        <v>2.1488392287845299E-7</v>
      </c>
      <c r="G85">
        <f t="shared" si="4"/>
        <v>10616.175776637248</v>
      </c>
      <c r="H85">
        <f t="shared" si="5"/>
        <v>131982.85315483683</v>
      </c>
    </row>
    <row r="86" spans="1:8" x14ac:dyDescent="0.2">
      <c r="A86">
        <v>292.98281860351602</v>
      </c>
      <c r="B86">
        <v>108.120071411133</v>
      </c>
      <c r="C86">
        <v>2.0489350656159599E-4</v>
      </c>
      <c r="D86" s="1">
        <v>2.8607006336262098E-7</v>
      </c>
      <c r="F86">
        <f t="shared" si="3"/>
        <v>2.0489350656159599E-7</v>
      </c>
      <c r="G86">
        <f t="shared" si="4"/>
        <v>8603.9219062652664</v>
      </c>
      <c r="H86">
        <f t="shared" si="5"/>
        <v>125846.68609291449</v>
      </c>
    </row>
    <row r="87" spans="1:8" x14ac:dyDescent="0.2">
      <c r="A87">
        <v>292.98214721679699</v>
      </c>
      <c r="B87">
        <v>87.654613494873004</v>
      </c>
      <c r="C87">
        <v>1.9843937329676E-4</v>
      </c>
      <c r="D87" s="1">
        <v>2.9054698010162502E-7</v>
      </c>
      <c r="F87">
        <f t="shared" si="3"/>
        <v>1.9843937329676E-7</v>
      </c>
      <c r="G87">
        <f t="shared" si="4"/>
        <v>6975.3325112592975</v>
      </c>
      <c r="H87">
        <f t="shared" si="5"/>
        <v>121882.52296928971</v>
      </c>
    </row>
    <row r="88" spans="1:8" x14ac:dyDescent="0.2">
      <c r="A88">
        <v>292.98312377929699</v>
      </c>
      <c r="B88">
        <v>71.011680603027301</v>
      </c>
      <c r="C88">
        <v>1.92142713815341E-4</v>
      </c>
      <c r="D88" s="1">
        <v>3.6091352548108999E-7</v>
      </c>
      <c r="F88">
        <f t="shared" si="3"/>
        <v>1.9214271381534099E-7</v>
      </c>
      <c r="G88">
        <f t="shared" si="4"/>
        <v>5650.9299926173289</v>
      </c>
      <c r="H88">
        <f t="shared" si="5"/>
        <v>118015.08108452753</v>
      </c>
    </row>
    <row r="89" spans="1:8" x14ac:dyDescent="0.2">
      <c r="A89">
        <v>292.98158264160202</v>
      </c>
      <c r="B89">
        <v>57.6192436218262</v>
      </c>
      <c r="C89">
        <v>1.8669697355254501E-4</v>
      </c>
      <c r="D89" s="1">
        <v>3.19746837770695E-7</v>
      </c>
      <c r="F89">
        <f t="shared" si="3"/>
        <v>1.86696973552545E-7</v>
      </c>
      <c r="G89">
        <f t="shared" si="4"/>
        <v>4585.1937198149017</v>
      </c>
      <c r="H89">
        <f t="shared" si="5"/>
        <v>114670.27832871347</v>
      </c>
    </row>
    <row r="90" spans="1:8" x14ac:dyDescent="0.2">
      <c r="A90">
        <v>292.98306274414102</v>
      </c>
      <c r="B90">
        <v>46.732784271240199</v>
      </c>
      <c r="C90">
        <v>1.82263561084251E-4</v>
      </c>
      <c r="D90" s="1">
        <v>3.0495836384729801E-7</v>
      </c>
      <c r="F90">
        <f t="shared" si="3"/>
        <v>1.82263561084251E-7</v>
      </c>
      <c r="G90">
        <f t="shared" si="4"/>
        <v>3718.8768106075277</v>
      </c>
      <c r="H90">
        <f t="shared" si="5"/>
        <v>111947.25271125651</v>
      </c>
    </row>
    <row r="91" spans="1:8" x14ac:dyDescent="0.2">
      <c r="A91">
        <v>292.98197937011702</v>
      </c>
      <c r="B91">
        <v>37.725805282592802</v>
      </c>
      <c r="C91">
        <v>1.78108362875622E-4</v>
      </c>
      <c r="D91" s="1">
        <v>2.5366196949046702E-7</v>
      </c>
      <c r="F91">
        <f t="shared" si="3"/>
        <v>1.7810836287562202E-7</v>
      </c>
      <c r="G91">
        <f t="shared" si="4"/>
        <v>3002.124196423491</v>
      </c>
      <c r="H91">
        <f t="shared" si="5"/>
        <v>109395.10777806425</v>
      </c>
    </row>
    <row r="92" spans="1:8" x14ac:dyDescent="0.2">
      <c r="A92">
        <v>292.98265075683599</v>
      </c>
      <c r="B92">
        <v>30.3985548019409</v>
      </c>
      <c r="C92">
        <v>1.7509803476276799E-4</v>
      </c>
      <c r="D92" s="1">
        <v>3.3413750908630801E-7</v>
      </c>
      <c r="F92">
        <f t="shared" si="3"/>
        <v>1.7509803476276798E-7</v>
      </c>
      <c r="G92">
        <f t="shared" si="4"/>
        <v>2419.0401297893827</v>
      </c>
      <c r="H92">
        <f t="shared" si="5"/>
        <v>107546.14817259659</v>
      </c>
    </row>
    <row r="93" spans="1:8" x14ac:dyDescent="0.2">
      <c r="A93">
        <v>292.98117065429699</v>
      </c>
      <c r="B93">
        <v>24.7419548034668</v>
      </c>
      <c r="C93">
        <v>1.7223892048237201E-4</v>
      </c>
      <c r="D93" s="1">
        <v>3.0531417298707398E-7</v>
      </c>
      <c r="F93">
        <f t="shared" si="3"/>
        <v>1.7223892048237201E-7</v>
      </c>
      <c r="G93">
        <f t="shared" si="4"/>
        <v>1968.9022043640027</v>
      </c>
      <c r="H93">
        <f t="shared" si="5"/>
        <v>105790.06491067733</v>
      </c>
    </row>
    <row r="94" spans="1:8" x14ac:dyDescent="0.2">
      <c r="A94">
        <v>292.98231506347702</v>
      </c>
      <c r="B94">
        <v>19.7663249969482</v>
      </c>
      <c r="C94">
        <v>1.7010606479236901E-4</v>
      </c>
      <c r="D94" s="1">
        <v>3.2745037902528699E-7</v>
      </c>
      <c r="F94">
        <f t="shared" si="3"/>
        <v>1.7010606479236901E-7</v>
      </c>
      <c r="G94">
        <f t="shared" si="4"/>
        <v>1572.9541650125996</v>
      </c>
      <c r="H94">
        <f t="shared" si="5"/>
        <v>104480.05355401873</v>
      </c>
    </row>
    <row r="95" spans="1:8" x14ac:dyDescent="0.2">
      <c r="A95">
        <v>292.98184204101602</v>
      </c>
      <c r="B95">
        <v>16.007363319397001</v>
      </c>
      <c r="C95">
        <v>1.68144954845319E-4</v>
      </c>
      <c r="D95" s="1">
        <v>3.20343236449951E-7</v>
      </c>
      <c r="F95">
        <f t="shared" si="3"/>
        <v>1.68144954845319E-7</v>
      </c>
      <c r="G95">
        <f t="shared" si="4"/>
        <v>1273.8254990749613</v>
      </c>
      <c r="H95">
        <f t="shared" si="5"/>
        <v>103275.52934999813</v>
      </c>
    </row>
    <row r="96" spans="1:8" x14ac:dyDescent="0.2">
      <c r="A96">
        <v>292.98178100585898</v>
      </c>
      <c r="B96">
        <v>12.9293727874756</v>
      </c>
      <c r="C96">
        <v>1.6602383601777999E-4</v>
      </c>
      <c r="D96" s="1">
        <v>3.3491329638045699E-7</v>
      </c>
      <c r="F96">
        <f t="shared" si="3"/>
        <v>1.6602383601777998E-7</v>
      </c>
      <c r="G96">
        <f t="shared" si="4"/>
        <v>1028.8867951022896</v>
      </c>
      <c r="H96">
        <f t="shared" si="5"/>
        <v>101972.72683695302</v>
      </c>
    </row>
    <row r="97" spans="1:8" x14ac:dyDescent="0.2">
      <c r="A97">
        <v>292.98161315917997</v>
      </c>
      <c r="B97">
        <v>10.3416829109192</v>
      </c>
      <c r="C97">
        <v>1.6468843568520999E-4</v>
      </c>
      <c r="D97" s="1">
        <v>3.7734415139137399E-7</v>
      </c>
      <c r="F97">
        <f t="shared" si="3"/>
        <v>1.6468843568520999E-7</v>
      </c>
      <c r="G97">
        <f t="shared" si="4"/>
        <v>822.96497758088594</v>
      </c>
      <c r="H97">
        <f t="shared" si="5"/>
        <v>101152.51682014222</v>
      </c>
    </row>
    <row r="98" spans="1:8" x14ac:dyDescent="0.2">
      <c r="A98">
        <v>292.98171997070301</v>
      </c>
      <c r="B98">
        <v>8.2079734802246094</v>
      </c>
      <c r="C98">
        <v>1.6298865661635499E-4</v>
      </c>
      <c r="D98" s="1">
        <v>3.2279652063019001E-7</v>
      </c>
      <c r="F98">
        <f t="shared" si="3"/>
        <v>1.6298865661635499E-7</v>
      </c>
      <c r="G98">
        <f t="shared" si="4"/>
        <v>653.1697760724669</v>
      </c>
      <c r="H98">
        <f t="shared" si="5"/>
        <v>100108.5034373111</v>
      </c>
    </row>
    <row r="99" spans="1:8" x14ac:dyDescent="0.2">
      <c r="A99">
        <v>292.97999572753901</v>
      </c>
      <c r="B99">
        <v>7.7630720138549796</v>
      </c>
      <c r="C99">
        <v>1.6256382824592501E-4</v>
      </c>
      <c r="D99" s="1">
        <v>3.40954441825934E-7</v>
      </c>
      <c r="F99">
        <f t="shared" si="3"/>
        <v>1.6256382824592502E-7</v>
      </c>
      <c r="G99">
        <f t="shared" si="4"/>
        <v>617.7656422916873</v>
      </c>
      <c r="H99">
        <f t="shared" si="5"/>
        <v>99847.571583129611</v>
      </c>
    </row>
    <row r="100" spans="1:8" x14ac:dyDescent="0.2">
      <c r="A100">
        <v>292.98066711425798</v>
      </c>
      <c r="B100">
        <v>5.1844606399536097</v>
      </c>
      <c r="C100">
        <v>1.61361931732926E-4</v>
      </c>
      <c r="D100" s="1">
        <v>3.1448237009611401E-7</v>
      </c>
      <c r="F100">
        <f t="shared" si="3"/>
        <v>1.6136193173292602E-7</v>
      </c>
      <c r="G100">
        <f t="shared" si="4"/>
        <v>412.56626905699403</v>
      </c>
      <c r="H100">
        <f t="shared" si="5"/>
        <v>99109.360325360525</v>
      </c>
    </row>
    <row r="101" spans="1:8" x14ac:dyDescent="0.2">
      <c r="A101">
        <v>292.98049926757801</v>
      </c>
      <c r="B101">
        <v>5.4205310344696001</v>
      </c>
      <c r="C101">
        <v>1.6110298586356899E-4</v>
      </c>
      <c r="D101" s="1">
        <v>3.4028565511484798E-7</v>
      </c>
      <c r="F101">
        <f t="shared" si="3"/>
        <v>1.61102985863569E-7</v>
      </c>
      <c r="G101">
        <f t="shared" si="4"/>
        <v>431.35215415943088</v>
      </c>
      <c r="H101">
        <f t="shared" si="5"/>
        <v>98950.314389337989</v>
      </c>
    </row>
    <row r="102" spans="1:8" x14ac:dyDescent="0.2">
      <c r="A102">
        <v>292.98092651367199</v>
      </c>
      <c r="B102">
        <v>3.2232637405395499</v>
      </c>
      <c r="C102">
        <v>1.5949123752327101E-4</v>
      </c>
      <c r="D102" s="1">
        <v>3.2551309910730401E-7</v>
      </c>
      <c r="F102">
        <f t="shared" si="3"/>
        <v>1.5949123752327101E-7</v>
      </c>
      <c r="G102">
        <f t="shared" si="4"/>
        <v>256.49917859787087</v>
      </c>
      <c r="H102">
        <f t="shared" si="5"/>
        <v>97960.369950170119</v>
      </c>
    </row>
    <row r="103" spans="1:8" x14ac:dyDescent="0.2">
      <c r="A103">
        <v>292.98141479492199</v>
      </c>
      <c r="B103">
        <v>3.2505027055740401</v>
      </c>
      <c r="C103">
        <v>1.5908108467795E-4</v>
      </c>
      <c r="D103" s="1">
        <v>3.0147686075236798E-7</v>
      </c>
      <c r="F103">
        <f t="shared" si="3"/>
        <v>1.5908108467795001E-7</v>
      </c>
      <c r="G103">
        <f t="shared" si="4"/>
        <v>258.66678656284409</v>
      </c>
      <c r="H103">
        <f t="shared" si="5"/>
        <v>97708.451881894434</v>
      </c>
    </row>
    <row r="104" spans="1:8" x14ac:dyDescent="0.2">
      <c r="A104">
        <v>292.98098754882801</v>
      </c>
      <c r="B104">
        <v>3.1869453191757202</v>
      </c>
      <c r="C104">
        <v>1.5904220049612499E-4</v>
      </c>
      <c r="D104" s="1">
        <v>3.2278845185007998E-7</v>
      </c>
      <c r="F104">
        <f t="shared" si="3"/>
        <v>1.59042200496125E-7</v>
      </c>
      <c r="G104">
        <f t="shared" si="4"/>
        <v>253.60905045519701</v>
      </c>
      <c r="H104">
        <f t="shared" si="5"/>
        <v>97684.569009732062</v>
      </c>
    </row>
    <row r="105" spans="1:8" x14ac:dyDescent="0.2">
      <c r="A105">
        <v>292.98176574707003</v>
      </c>
      <c r="B105">
        <v>2.5604516267776498</v>
      </c>
      <c r="C105">
        <v>1.5921549997687499E-4</v>
      </c>
      <c r="D105" s="1">
        <v>3.7114645839280602E-7</v>
      </c>
      <c r="F105">
        <f t="shared" si="3"/>
        <v>1.59215499976875E-7</v>
      </c>
      <c r="G105">
        <f t="shared" si="4"/>
        <v>203.75426647467387</v>
      </c>
      <c r="H105">
        <f t="shared" si="5"/>
        <v>97791.010476423704</v>
      </c>
    </row>
    <row r="106" spans="1:8" x14ac:dyDescent="0.2">
      <c r="A106">
        <v>292.98025512695301</v>
      </c>
      <c r="B106">
        <v>2.38793909549713</v>
      </c>
      <c r="C106">
        <v>1.5801968145932299E-4</v>
      </c>
      <c r="D106" s="1">
        <v>2.57768639665253E-7</v>
      </c>
      <c r="F106">
        <f t="shared" si="3"/>
        <v>1.5801968145932298E-7</v>
      </c>
      <c r="G106">
        <f t="shared" si="4"/>
        <v>190.02615542537887</v>
      </c>
      <c r="H106">
        <f t="shared" si="5"/>
        <v>97056.532355921518</v>
      </c>
    </row>
    <row r="107" spans="1:8" x14ac:dyDescent="0.2">
      <c r="A107">
        <v>292.98159790039102</v>
      </c>
      <c r="B107">
        <v>1.8522417545318599</v>
      </c>
      <c r="C107">
        <v>1.5755938510331001E-4</v>
      </c>
      <c r="D107" s="1">
        <v>3.3168979669512699E-7</v>
      </c>
      <c r="F107">
        <f t="shared" si="3"/>
        <v>1.5755938510331002E-7</v>
      </c>
      <c r="G107">
        <f t="shared" si="4"/>
        <v>147.39671551747526</v>
      </c>
      <c r="H107">
        <f t="shared" si="5"/>
        <v>96773.815875555854</v>
      </c>
    </row>
    <row r="108" spans="1:8" x14ac:dyDescent="0.2">
      <c r="A108">
        <v>292.98043823242199</v>
      </c>
      <c r="B108">
        <v>1.80684357881546</v>
      </c>
      <c r="C108">
        <v>1.5661204839269901E-4</v>
      </c>
      <c r="D108" s="1">
        <v>3.7991620594373899E-7</v>
      </c>
      <c r="F108">
        <f t="shared" si="3"/>
        <v>1.5661204839269902E-7</v>
      </c>
      <c r="G108">
        <f t="shared" si="4"/>
        <v>143.78404348116553</v>
      </c>
      <c r="H108">
        <f t="shared" si="5"/>
        <v>96191.956608050386</v>
      </c>
    </row>
    <row r="109" spans="1:8" x14ac:dyDescent="0.2">
      <c r="A109">
        <v>292.98126220703102</v>
      </c>
      <c r="B109">
        <v>-1.5616939663887</v>
      </c>
      <c r="C109">
        <v>1.5663424937276699E-4</v>
      </c>
      <c r="D109" s="1">
        <v>3.0297375683718898E-7</v>
      </c>
      <c r="F109">
        <f t="shared" si="3"/>
        <v>1.56634249372767E-7</v>
      </c>
      <c r="G109">
        <f t="shared" si="4"/>
        <v>-124.27565717377493</v>
      </c>
      <c r="H109">
        <f t="shared" si="5"/>
        <v>96205.592568586449</v>
      </c>
    </row>
    <row r="110" spans="1:8" x14ac:dyDescent="0.2">
      <c r="A110">
        <v>292.98153686523398</v>
      </c>
      <c r="B110">
        <v>-1.57077360153198</v>
      </c>
      <c r="C110">
        <v>1.5572220154928601E-4</v>
      </c>
      <c r="D110" s="1">
        <v>3.3711459397834901E-7</v>
      </c>
      <c r="F110">
        <f t="shared" si="3"/>
        <v>1.55722201549286E-7</v>
      </c>
      <c r="G110">
        <f t="shared" si="4"/>
        <v>-124.99819158103688</v>
      </c>
      <c r="H110">
        <f t="shared" si="5"/>
        <v>95645.407924038751</v>
      </c>
    </row>
    <row r="111" spans="1:8" x14ac:dyDescent="0.2">
      <c r="A111">
        <v>292.98056030273398</v>
      </c>
      <c r="B111">
        <v>-1.5980123877525301</v>
      </c>
      <c r="C111">
        <v>1.5524510791538001E-4</v>
      </c>
      <c r="D111" s="1">
        <v>2.7978749327974201E-7</v>
      </c>
      <c r="F111">
        <f t="shared" si="3"/>
        <v>1.5524510791538001E-7</v>
      </c>
      <c r="G111">
        <f t="shared" si="4"/>
        <v>-127.16578531644885</v>
      </c>
      <c r="H111">
        <f t="shared" si="5"/>
        <v>95352.374465874746</v>
      </c>
    </row>
    <row r="112" spans="1:8" x14ac:dyDescent="0.2">
      <c r="A112">
        <v>292.98165893554699</v>
      </c>
      <c r="B112">
        <v>-1.6978881955146801</v>
      </c>
      <c r="C112">
        <v>1.55273280997435E-4</v>
      </c>
      <c r="D112" s="1">
        <v>2.8551435757590701E-7</v>
      </c>
      <c r="F112">
        <f t="shared" si="3"/>
        <v>1.55273280997435E-7</v>
      </c>
      <c r="G112">
        <f t="shared" si="4"/>
        <v>-135.11364956676988</v>
      </c>
      <c r="H112">
        <f t="shared" si="5"/>
        <v>95369.678523348994</v>
      </c>
    </row>
    <row r="113" spans="1:8" x14ac:dyDescent="0.2">
      <c r="A113">
        <v>292.98046875</v>
      </c>
      <c r="B113">
        <v>-2.24266517162323</v>
      </c>
      <c r="C113">
        <v>1.54889379608828E-4</v>
      </c>
      <c r="D113" s="1">
        <v>3.1335063781071802E-7</v>
      </c>
      <c r="F113">
        <f t="shared" si="3"/>
        <v>1.5488937960882799E-7</v>
      </c>
      <c r="G113">
        <f t="shared" si="4"/>
        <v>-178.46562388193544</v>
      </c>
      <c r="H113">
        <f t="shared" si="5"/>
        <v>95133.884239999476</v>
      </c>
    </row>
    <row r="114" spans="1:8" x14ac:dyDescent="0.2">
      <c r="A114">
        <v>292.98077392578102</v>
      </c>
      <c r="B114">
        <v>-2.7511236667633101</v>
      </c>
      <c r="C114">
        <v>1.5431120838209201E-4</v>
      </c>
      <c r="D114" s="1">
        <v>2.8945962432816498E-7</v>
      </c>
      <c r="F114">
        <f t="shared" si="3"/>
        <v>1.5431120838209201E-7</v>
      </c>
      <c r="G114">
        <f t="shared" si="4"/>
        <v>-218.92746531124055</v>
      </c>
      <c r="H114">
        <f t="shared" si="5"/>
        <v>94778.768384450756</v>
      </c>
    </row>
    <row r="115" spans="1:8" x14ac:dyDescent="0.2">
      <c r="A115">
        <v>292.97988891601602</v>
      </c>
      <c r="B115">
        <v>-3.21418404579163</v>
      </c>
      <c r="C115">
        <v>1.5407774167902901E-4</v>
      </c>
      <c r="D115" s="1">
        <v>2.5762621036130198E-7</v>
      </c>
      <c r="F115">
        <f t="shared" si="3"/>
        <v>1.5407774167902902E-7</v>
      </c>
      <c r="G115">
        <f t="shared" si="4"/>
        <v>-255.77663944742241</v>
      </c>
      <c r="H115">
        <f t="shared" si="5"/>
        <v>94635.371888453548</v>
      </c>
    </row>
    <row r="116" spans="1:8" x14ac:dyDescent="0.2">
      <c r="A116">
        <v>292.98307800292997</v>
      </c>
      <c r="B116">
        <v>-5.0482664108276403</v>
      </c>
      <c r="C116">
        <v>1.5392736405255399E-4</v>
      </c>
      <c r="D116" s="1">
        <v>3.0026618870173097E-7</v>
      </c>
      <c r="F116">
        <f t="shared" si="3"/>
        <v>1.53927364052554E-7</v>
      </c>
      <c r="G116">
        <f t="shared" si="4"/>
        <v>-401.72827666399991</v>
      </c>
      <c r="H116">
        <f t="shared" si="5"/>
        <v>94543.009147086195</v>
      </c>
    </row>
    <row r="117" spans="1:8" x14ac:dyDescent="0.2">
      <c r="A117">
        <v>292.980712890625</v>
      </c>
      <c r="B117">
        <v>-5.4659287929534903</v>
      </c>
      <c r="C117">
        <v>1.53444260535979E-4</v>
      </c>
      <c r="D117" s="1">
        <v>3.5274302230545599E-7</v>
      </c>
      <c r="F117">
        <f t="shared" si="3"/>
        <v>1.5344426053597899E-7</v>
      </c>
      <c r="G117">
        <f t="shared" si="4"/>
        <v>-434.96479299343247</v>
      </c>
      <c r="H117">
        <f t="shared" si="5"/>
        <v>94246.284386887302</v>
      </c>
    </row>
    <row r="118" spans="1:8" x14ac:dyDescent="0.2">
      <c r="A118">
        <v>292.98001098632801</v>
      </c>
      <c r="B118">
        <v>-7.8538680076599103</v>
      </c>
      <c r="C118">
        <v>1.5218621262647899E-4</v>
      </c>
      <c r="D118" s="1">
        <v>3.0674424579206601E-7</v>
      </c>
      <c r="F118">
        <f t="shared" si="3"/>
        <v>1.52186212626479E-7</v>
      </c>
      <c r="G118">
        <f t="shared" si="4"/>
        <v>-624.99095790518527</v>
      </c>
      <c r="H118">
        <f t="shared" si="5"/>
        <v>93473.58464147542</v>
      </c>
    </row>
    <row r="119" spans="1:8" x14ac:dyDescent="0.2">
      <c r="A119">
        <v>292.97935485839798</v>
      </c>
      <c r="B119">
        <v>-8.5076003074645996</v>
      </c>
      <c r="C119">
        <v>1.5197884473441001E-4</v>
      </c>
      <c r="D119" s="1">
        <v>3.3981941105040901E-7</v>
      </c>
      <c r="F119">
        <f t="shared" si="3"/>
        <v>1.5197884473441002E-7</v>
      </c>
      <c r="G119">
        <f t="shared" si="4"/>
        <v>-677.01332139155988</v>
      </c>
      <c r="H119">
        <f t="shared" si="5"/>
        <v>93346.218174587862</v>
      </c>
    </row>
    <row r="120" spans="1:8" x14ac:dyDescent="0.2">
      <c r="A120">
        <v>292.97938537597702</v>
      </c>
      <c r="B120">
        <v>-11.567430973053</v>
      </c>
      <c r="C120">
        <v>1.5147112970065199E-4</v>
      </c>
      <c r="D120" s="1">
        <v>3.77810064362596E-7</v>
      </c>
      <c r="F120">
        <f t="shared" si="3"/>
        <v>1.5147112970065198E-7</v>
      </c>
      <c r="G120">
        <f t="shared" si="4"/>
        <v>-920.50690911783886</v>
      </c>
      <c r="H120">
        <f t="shared" si="5"/>
        <v>93034.376889081861</v>
      </c>
    </row>
    <row r="121" spans="1:8" x14ac:dyDescent="0.2">
      <c r="A121">
        <v>292.98048400878901</v>
      </c>
      <c r="B121">
        <v>-14.091564655303999</v>
      </c>
      <c r="C121">
        <v>1.5051645211858501E-4</v>
      </c>
      <c r="D121" s="1">
        <v>3.8007775686802201E-7</v>
      </c>
      <c r="F121">
        <f t="shared" si="3"/>
        <v>1.50516452118585E-7</v>
      </c>
      <c r="G121">
        <f t="shared" si="4"/>
        <v>-1121.371085395336</v>
      </c>
      <c r="H121">
        <f t="shared" si="5"/>
        <v>92448.008819119583</v>
      </c>
    </row>
    <row r="122" spans="1:8" x14ac:dyDescent="0.2">
      <c r="A122">
        <v>292.97961425781199</v>
      </c>
      <c r="B122">
        <v>-17.169554710388201</v>
      </c>
      <c r="C122">
        <v>1.4925208850860501E-4</v>
      </c>
      <c r="D122" s="1">
        <v>3.5213279634748298E-7</v>
      </c>
      <c r="F122">
        <f t="shared" si="3"/>
        <v>1.49252088508605E-7</v>
      </c>
      <c r="G122">
        <f t="shared" si="4"/>
        <v>-1366.309751422509</v>
      </c>
      <c r="H122">
        <f t="shared" si="5"/>
        <v>91671.429936739907</v>
      </c>
    </row>
    <row r="123" spans="1:8" x14ac:dyDescent="0.2">
      <c r="A123">
        <v>292.97956848144503</v>
      </c>
      <c r="B123">
        <v>-20.8014011383057</v>
      </c>
      <c r="C123">
        <v>1.48786549756965E-4</v>
      </c>
      <c r="D123" s="1">
        <v>3.29270098012915E-7</v>
      </c>
      <c r="F123">
        <f t="shared" si="3"/>
        <v>1.48786549756965E-7</v>
      </c>
      <c r="G123">
        <f t="shared" si="4"/>
        <v>-1655.3229071993653</v>
      </c>
      <c r="H123">
        <f t="shared" si="5"/>
        <v>91385.493548979779</v>
      </c>
    </row>
    <row r="124" spans="1:8" x14ac:dyDescent="0.2">
      <c r="A124">
        <v>292.97959899902298</v>
      </c>
      <c r="B124">
        <v>-25.640835762023901</v>
      </c>
      <c r="C124">
        <v>1.47575489548853E-4</v>
      </c>
      <c r="D124" s="1">
        <v>3.2615577998229298E-7</v>
      </c>
      <c r="F124">
        <f t="shared" si="3"/>
        <v>1.4757548954885299E-7</v>
      </c>
      <c r="G124">
        <f t="shared" si="4"/>
        <v>-2040.4328782667744</v>
      </c>
      <c r="H124">
        <f t="shared" si="5"/>
        <v>90641.653900727804</v>
      </c>
    </row>
    <row r="125" spans="1:8" x14ac:dyDescent="0.2">
      <c r="A125">
        <v>292.97900390625</v>
      </c>
      <c r="B125">
        <v>-31.5425863265991</v>
      </c>
      <c r="C125">
        <v>1.46361367818523E-4</v>
      </c>
      <c r="D125" s="1">
        <v>3.2621616461572898E-7</v>
      </c>
      <c r="F125">
        <f t="shared" si="3"/>
        <v>1.4636136781852299E-7</v>
      </c>
      <c r="G125">
        <f t="shared" si="4"/>
        <v>-2510.079265890538</v>
      </c>
      <c r="H125">
        <f t="shared" si="5"/>
        <v>89895.933849177556</v>
      </c>
    </row>
    <row r="126" spans="1:8" x14ac:dyDescent="0.2">
      <c r="A126">
        <v>292.97970581054699</v>
      </c>
      <c r="B126">
        <v>-38.833517074584996</v>
      </c>
      <c r="C126">
        <v>1.4444035075184599E-4</v>
      </c>
      <c r="D126" s="1">
        <v>3.5038902415191097E-7</v>
      </c>
      <c r="F126">
        <f t="shared" si="3"/>
        <v>1.4444035075184599E-7</v>
      </c>
      <c r="G126">
        <f t="shared" si="4"/>
        <v>-3090.2731000318608</v>
      </c>
      <c r="H126">
        <f t="shared" si="5"/>
        <v>88716.034906423331</v>
      </c>
    </row>
    <row r="127" spans="1:8" x14ac:dyDescent="0.2">
      <c r="A127">
        <v>292.97793579101602</v>
      </c>
      <c r="B127">
        <v>-47.504552841186502</v>
      </c>
      <c r="C127">
        <v>1.41435236380076E-4</v>
      </c>
      <c r="D127" s="1">
        <v>2.9037566296098299E-7</v>
      </c>
      <c r="F127">
        <f t="shared" si="3"/>
        <v>1.41435236380076E-7</v>
      </c>
      <c r="G127">
        <f t="shared" si="4"/>
        <v>-3780.2922020224864</v>
      </c>
      <c r="H127">
        <f t="shared" si="5"/>
        <v>86870.27760857674</v>
      </c>
    </row>
    <row r="128" spans="1:8" x14ac:dyDescent="0.2">
      <c r="A128">
        <v>292.97894287109398</v>
      </c>
      <c r="B128">
        <v>-58.400091171264698</v>
      </c>
      <c r="C128">
        <v>1.40116537055601E-4</v>
      </c>
      <c r="D128" s="1">
        <v>3.4699924410557703E-7</v>
      </c>
      <c r="F128">
        <f t="shared" si="3"/>
        <v>1.4011653705560099E-7</v>
      </c>
      <c r="G128">
        <f t="shared" si="4"/>
        <v>-4647.3315934620668</v>
      </c>
      <c r="H128">
        <f t="shared" si="5"/>
        <v>86060.325440140135</v>
      </c>
    </row>
    <row r="129" spans="1:8" x14ac:dyDescent="0.2">
      <c r="A129">
        <v>292.97991943359398</v>
      </c>
      <c r="B129">
        <v>-71.847003936767607</v>
      </c>
      <c r="C129">
        <v>1.3627833392439E-4</v>
      </c>
      <c r="D129" s="1">
        <v>3.1086990047157298E-7</v>
      </c>
      <c r="F129">
        <f t="shared" si="3"/>
        <v>1.3627833392438999E-7</v>
      </c>
      <c r="G129">
        <f t="shared" si="4"/>
        <v>-5717.4029114397144</v>
      </c>
      <c r="H129">
        <f t="shared" si="5"/>
        <v>83702.880576609808</v>
      </c>
    </row>
    <row r="130" spans="1:8" x14ac:dyDescent="0.2">
      <c r="A130">
        <v>292.97923278808599</v>
      </c>
      <c r="B130">
        <v>-88.353748321533203</v>
      </c>
      <c r="C130">
        <v>1.3224808284455501E-4</v>
      </c>
      <c r="D130" s="1">
        <v>3.3505617188350102E-7</v>
      </c>
      <c r="F130">
        <f t="shared" si="3"/>
        <v>1.3224808284455502E-7</v>
      </c>
      <c r="G130">
        <f t="shared" si="4"/>
        <v>-7030.9678930346299</v>
      </c>
      <c r="H130">
        <f t="shared" si="5"/>
        <v>81227.47883728164</v>
      </c>
    </row>
    <row r="131" spans="1:8" x14ac:dyDescent="0.2">
      <c r="A131">
        <v>292.97863769531301</v>
      </c>
      <c r="B131">
        <v>-108.94631195068401</v>
      </c>
      <c r="C131">
        <v>1.2714534248426201E-4</v>
      </c>
      <c r="D131" s="1">
        <v>3.1339826637232598E-7</v>
      </c>
      <c r="F131">
        <f t="shared" si="3"/>
        <v>1.2714534248426201E-7</v>
      </c>
      <c r="G131">
        <f t="shared" si="4"/>
        <v>-8669.672039291494</v>
      </c>
      <c r="H131">
        <f t="shared" si="5"/>
        <v>78093.348453591869</v>
      </c>
    </row>
    <row r="132" spans="1:8" x14ac:dyDescent="0.2">
      <c r="A132">
        <v>292.97882080078102</v>
      </c>
      <c r="B132">
        <v>-133.88801574707</v>
      </c>
      <c r="C132">
        <v>1.20139926257282E-4</v>
      </c>
      <c r="D132" s="1">
        <v>3.48461698323873E-7</v>
      </c>
      <c r="F132">
        <f t="shared" si="3"/>
        <v>1.2013992625728201E-7</v>
      </c>
      <c r="G132">
        <f t="shared" si="4"/>
        <v>-10654.469763455856</v>
      </c>
      <c r="H132">
        <f t="shared" si="5"/>
        <v>73790.584390144446</v>
      </c>
    </row>
    <row r="133" spans="1:8" x14ac:dyDescent="0.2">
      <c r="A133">
        <v>292.97860717773398</v>
      </c>
      <c r="B133">
        <v>-164.75872039794899</v>
      </c>
      <c r="C133">
        <v>1.1160445383565901E-4</v>
      </c>
      <c r="D133" s="1">
        <v>2.8026647911206002E-7</v>
      </c>
      <c r="F133">
        <f t="shared" si="3"/>
        <v>1.11604453835659E-7</v>
      </c>
      <c r="G133">
        <f t="shared" si="4"/>
        <v>-13111.082384414534</v>
      </c>
      <c r="H133">
        <f t="shared" si="5"/>
        <v>68548.051639718804</v>
      </c>
    </row>
    <row r="134" spans="1:8" x14ac:dyDescent="0.2">
      <c r="A134">
        <v>292.97894287109398</v>
      </c>
      <c r="B134">
        <v>-202.94758605957</v>
      </c>
      <c r="C134">
        <v>1.00104180300655E-4</v>
      </c>
      <c r="D134" s="1">
        <v>3.29712869089713E-7</v>
      </c>
      <c r="F134">
        <f t="shared" si="3"/>
        <v>1.0010418030065499E-7</v>
      </c>
      <c r="G134">
        <f t="shared" si="4"/>
        <v>-16150.055754974197</v>
      </c>
      <c r="H134">
        <f t="shared" si="5"/>
        <v>61484.522210067422</v>
      </c>
    </row>
    <row r="135" spans="1:8" x14ac:dyDescent="0.2">
      <c r="A135">
        <v>292.97909545898398</v>
      </c>
      <c r="B135">
        <v>-249.81655883789099</v>
      </c>
      <c r="C135" s="1">
        <v>8.2224697388289902E-5</v>
      </c>
      <c r="D135" s="1">
        <v>4.8231030324109398E-7</v>
      </c>
      <c r="F135">
        <f t="shared" si="3"/>
        <v>8.2224697388289905E-8</v>
      </c>
      <c r="G135">
        <f t="shared" si="4"/>
        <v>-19879.770102628834</v>
      </c>
      <c r="H135">
        <f t="shared" si="5"/>
        <v>50502.848308656539</v>
      </c>
    </row>
    <row r="136" spans="1:8" x14ac:dyDescent="0.2">
      <c r="A136">
        <v>292.97871398925798</v>
      </c>
      <c r="B136">
        <v>-307.49028015136702</v>
      </c>
      <c r="C136" s="1">
        <v>6.08241436307756E-5</v>
      </c>
      <c r="D136" s="1">
        <v>4.2197661226123901E-7</v>
      </c>
      <c r="F136">
        <f t="shared" si="3"/>
        <v>6.0824143630775594E-8</v>
      </c>
      <c r="G136">
        <f t="shared" si="4"/>
        <v>-24469.299019400885</v>
      </c>
      <c r="H136">
        <f t="shared" si="5"/>
        <v>37358.51388765913</v>
      </c>
    </row>
    <row r="137" spans="1:8" x14ac:dyDescent="0.2">
      <c r="A137">
        <v>292.97773742675798</v>
      </c>
      <c r="B137">
        <v>-378.65634155273398</v>
      </c>
      <c r="C137" s="1">
        <v>3.0988925549259401E-5</v>
      </c>
      <c r="D137" s="1">
        <v>3.5908645897278402E-7</v>
      </c>
      <c r="F137">
        <f t="shared" ref="F137:F200" si="6">C137/1000</f>
        <v>3.0988925549259401E-8</v>
      </c>
      <c r="G137">
        <f t="shared" ref="G137:G200" si="7">(B137*1000)/(4*PI())</f>
        <v>-30132.514245605329</v>
      </c>
      <c r="H137">
        <f t="shared" ref="H137:H200" si="8">F137/$G$4</f>
        <v>19033.563588224082</v>
      </c>
    </row>
    <row r="138" spans="1:8" x14ac:dyDescent="0.2">
      <c r="A138">
        <v>292.978271484375</v>
      </c>
      <c r="B138">
        <v>-466.12933349609398</v>
      </c>
      <c r="C138" s="1">
        <v>-1.15195184166982E-5</v>
      </c>
      <c r="D138" s="1">
        <v>3.5314916120219098E-7</v>
      </c>
      <c r="F138">
        <f t="shared" si="6"/>
        <v>-1.1519518416698201E-8</v>
      </c>
      <c r="G138">
        <f t="shared" si="7"/>
        <v>-37093.393773016971</v>
      </c>
      <c r="H138">
        <f t="shared" si="8"/>
        <v>-7075.3497387773623</v>
      </c>
    </row>
    <row r="139" spans="1:8" x14ac:dyDescent="0.2">
      <c r="A139">
        <v>292.97740173339798</v>
      </c>
      <c r="B139">
        <v>-573.99514770507801</v>
      </c>
      <c r="C139" s="1">
        <v>-6.2605665140879496E-5</v>
      </c>
      <c r="D139" s="1">
        <v>4.2267012915664599E-7</v>
      </c>
      <c r="F139">
        <f t="shared" si="6"/>
        <v>-6.26056651408795E-8</v>
      </c>
      <c r="G139">
        <f t="shared" si="7"/>
        <v>-45677.082534012872</v>
      </c>
      <c r="H139">
        <f t="shared" si="8"/>
        <v>-38452.7339145023</v>
      </c>
    </row>
    <row r="140" spans="1:8" x14ac:dyDescent="0.2">
      <c r="A140">
        <v>292.97805786132801</v>
      </c>
      <c r="B140">
        <v>-706.28515625</v>
      </c>
      <c r="C140">
        <v>-1.2911737123818799E-4</v>
      </c>
      <c r="D140" s="1">
        <v>4.9018493192276305E-7</v>
      </c>
      <c r="F140">
        <f t="shared" si="6"/>
        <v>-1.2911737123818799E-7</v>
      </c>
      <c r="G140">
        <f t="shared" si="7"/>
        <v>-56204.38692480958</v>
      </c>
      <c r="H140">
        <f t="shared" si="8"/>
        <v>-79304.579047114443</v>
      </c>
    </row>
    <row r="141" spans="1:8" x14ac:dyDescent="0.2">
      <c r="A141">
        <v>292.97850036621099</v>
      </c>
      <c r="B141">
        <v>-870.36291503906295</v>
      </c>
      <c r="C141">
        <v>-1.97899985060927E-4</v>
      </c>
      <c r="D141" s="1">
        <v>4.4569217025391798E-7</v>
      </c>
      <c r="F141">
        <f t="shared" si="6"/>
        <v>-1.9789998506092699E-7</v>
      </c>
      <c r="G141">
        <f t="shared" si="7"/>
        <v>-69261.280106169099</v>
      </c>
      <c r="H141">
        <f t="shared" si="8"/>
        <v>-121551.22783389858</v>
      </c>
    </row>
    <row r="142" spans="1:8" x14ac:dyDescent="0.2">
      <c r="A142">
        <v>292.97821044921898</v>
      </c>
      <c r="B142">
        <v>-1071.81237792969</v>
      </c>
      <c r="C142">
        <v>-2.6701810246185502E-4</v>
      </c>
      <c r="D142" s="1">
        <v>3.3291962571144098E-7</v>
      </c>
      <c r="F142">
        <f t="shared" si="6"/>
        <v>-2.67018102461855E-7</v>
      </c>
      <c r="G142">
        <f t="shared" si="7"/>
        <v>-85292.119007294415</v>
      </c>
      <c r="H142">
        <f t="shared" si="8"/>
        <v>-164003.94471037452</v>
      </c>
    </row>
    <row r="143" spans="1:8" x14ac:dyDescent="0.2">
      <c r="A143">
        <v>292.97821044921898</v>
      </c>
      <c r="B143">
        <v>-1319.65869140625</v>
      </c>
      <c r="C143">
        <v>-3.3235539163650897E-4</v>
      </c>
      <c r="D143" s="1">
        <v>3.0876792800775298E-7</v>
      </c>
      <c r="F143">
        <f t="shared" si="6"/>
        <v>-3.32355391636509E-7</v>
      </c>
      <c r="G143">
        <f t="shared" si="7"/>
        <v>-105015.10196574339</v>
      </c>
      <c r="H143">
        <f t="shared" si="8"/>
        <v>-204134.4566963792</v>
      </c>
    </row>
    <row r="144" spans="1:8" x14ac:dyDescent="0.2">
      <c r="A144">
        <v>292.97848510742199</v>
      </c>
      <c r="B144">
        <v>-1624.97888183594</v>
      </c>
      <c r="C144">
        <v>-3.8945674745004201E-4</v>
      </c>
      <c r="D144" s="1">
        <v>3.8369892311103198E-7</v>
      </c>
      <c r="F144">
        <f t="shared" si="6"/>
        <v>-3.89456747450042E-7</v>
      </c>
      <c r="G144">
        <f t="shared" si="7"/>
        <v>-129311.71073206539</v>
      </c>
      <c r="H144">
        <f t="shared" si="8"/>
        <v>-239206.41442279555</v>
      </c>
    </row>
    <row r="145" spans="1:8" x14ac:dyDescent="0.2">
      <c r="A145">
        <v>292.97868347167997</v>
      </c>
      <c r="B145">
        <v>-2001.8192749023401</v>
      </c>
      <c r="C145">
        <v>-4.39244371923422E-4</v>
      </c>
      <c r="D145" s="1">
        <v>2.6948985964741902E-7</v>
      </c>
      <c r="F145">
        <f t="shared" si="6"/>
        <v>-4.3924437192342201E-7</v>
      </c>
      <c r="G145">
        <f t="shared" si="7"/>
        <v>-159299.71638867055</v>
      </c>
      <c r="H145">
        <f t="shared" si="8"/>
        <v>-269786.23929650267</v>
      </c>
    </row>
    <row r="146" spans="1:8" x14ac:dyDescent="0.2">
      <c r="A146">
        <v>292.97941589355497</v>
      </c>
      <c r="B146">
        <v>-2464.4530029296898</v>
      </c>
      <c r="C146">
        <v>-4.84388464764714E-4</v>
      </c>
      <c r="D146" s="1">
        <v>3.4485599148541499E-7</v>
      </c>
      <c r="F146">
        <f t="shared" si="6"/>
        <v>-4.84388464764714E-7</v>
      </c>
      <c r="G146">
        <f t="shared" si="7"/>
        <v>-196114.93871696267</v>
      </c>
      <c r="H146">
        <f t="shared" si="8"/>
        <v>-297513.98224007682</v>
      </c>
    </row>
    <row r="147" spans="1:8" x14ac:dyDescent="0.2">
      <c r="A147">
        <v>292.97782897949202</v>
      </c>
      <c r="B147">
        <v>-3035.5245361328102</v>
      </c>
      <c r="C147">
        <v>-5.24166160591572E-4</v>
      </c>
      <c r="D147" s="1">
        <v>3.0933320424302302E-7</v>
      </c>
      <c r="F147">
        <f t="shared" si="6"/>
        <v>-5.24166160591572E-7</v>
      </c>
      <c r="G147">
        <f t="shared" si="7"/>
        <v>-241559.36740113472</v>
      </c>
      <c r="H147">
        <f t="shared" si="8"/>
        <v>-321945.65547476348</v>
      </c>
    </row>
    <row r="148" spans="1:8" x14ac:dyDescent="0.2">
      <c r="A148">
        <v>292.97741699218801</v>
      </c>
      <c r="B148">
        <v>-3738.3956298828102</v>
      </c>
      <c r="C148">
        <v>-5.6171007764008304E-4</v>
      </c>
      <c r="D148" s="1">
        <v>3.7666881407638102E-7</v>
      </c>
      <c r="F148">
        <f t="shared" si="6"/>
        <v>-5.6171007764008308E-7</v>
      </c>
      <c r="G148">
        <f t="shared" si="7"/>
        <v>-297492.07186449447</v>
      </c>
      <c r="H148">
        <f t="shared" si="8"/>
        <v>-345005.32985288737</v>
      </c>
    </row>
    <row r="149" spans="1:8" x14ac:dyDescent="0.2">
      <c r="A149">
        <v>292.97711181640602</v>
      </c>
      <c r="B149">
        <v>-4604.17333984375</v>
      </c>
      <c r="C149">
        <v>-5.9539603011625898E-4</v>
      </c>
      <c r="D149" s="1">
        <v>2.6728857609174503E-7</v>
      </c>
      <c r="F149">
        <f t="shared" si="6"/>
        <v>-5.9539603011625903E-7</v>
      </c>
      <c r="G149">
        <f t="shared" si="7"/>
        <v>-366388.47294402687</v>
      </c>
      <c r="H149">
        <f t="shared" si="8"/>
        <v>-365695.42178479407</v>
      </c>
    </row>
    <row r="150" spans="1:8" x14ac:dyDescent="0.2">
      <c r="A150">
        <v>292.97721862792997</v>
      </c>
      <c r="B150">
        <v>-5668.9853515625</v>
      </c>
      <c r="C150">
        <v>-6.26127885026714E-4</v>
      </c>
      <c r="D150" s="1">
        <v>3.1521067757587202E-7</v>
      </c>
      <c r="F150">
        <f t="shared" si="6"/>
        <v>-6.26127885026714E-7</v>
      </c>
      <c r="G150">
        <f t="shared" si="7"/>
        <v>-451123.52050835901</v>
      </c>
      <c r="H150">
        <f t="shared" si="8"/>
        <v>-384571.09121361683</v>
      </c>
    </row>
    <row r="151" spans="1:8" x14ac:dyDescent="0.2">
      <c r="A151">
        <v>292.97775268554699</v>
      </c>
      <c r="B151">
        <v>-6981.4895019531295</v>
      </c>
      <c r="C151">
        <v>-6.5302803507369996E-4</v>
      </c>
      <c r="D151" s="1">
        <v>2.9781172756780399E-7</v>
      </c>
      <c r="F151">
        <f t="shared" si="6"/>
        <v>-6.530280350737E-7</v>
      </c>
      <c r="G151">
        <f t="shared" si="7"/>
        <v>-555569.28219000751</v>
      </c>
      <c r="H151">
        <f t="shared" si="8"/>
        <v>-401093.30704966455</v>
      </c>
    </row>
    <row r="152" spans="1:8" x14ac:dyDescent="0.2">
      <c r="A152">
        <v>292.97666931152298</v>
      </c>
      <c r="B152">
        <v>-8598.54150390625</v>
      </c>
      <c r="C152">
        <v>-6.7630850788573296E-4</v>
      </c>
      <c r="D152" s="1">
        <v>3.9882117578039601E-7</v>
      </c>
      <c r="F152">
        <f t="shared" si="6"/>
        <v>-6.7630850788573297E-7</v>
      </c>
      <c r="G152">
        <f t="shared" si="7"/>
        <v>-684250.19186374976</v>
      </c>
      <c r="H152">
        <f t="shared" si="8"/>
        <v>-415392.29779483873</v>
      </c>
    </row>
    <row r="153" spans="1:8" x14ac:dyDescent="0.2">
      <c r="A153">
        <v>292.97740173339798</v>
      </c>
      <c r="B153">
        <v>-10589.311035156201</v>
      </c>
      <c r="C153">
        <v>-6.9538913265680203E-4</v>
      </c>
      <c r="D153" s="1">
        <v>4.8150738247411595E-7</v>
      </c>
      <c r="F153">
        <f t="shared" si="6"/>
        <v>-6.9538913265680206E-7</v>
      </c>
      <c r="G153">
        <f t="shared" si="7"/>
        <v>-842670.59759133228</v>
      </c>
      <c r="H153">
        <f t="shared" si="8"/>
        <v>-427111.71944131999</v>
      </c>
    </row>
    <row r="154" spans="1:8" x14ac:dyDescent="0.2">
      <c r="A154">
        <v>292.97698974609398</v>
      </c>
      <c r="B154">
        <v>-13041.307128906201</v>
      </c>
      <c r="C154">
        <v>-7.09600791410575E-4</v>
      </c>
      <c r="D154" s="1">
        <v>4.8261680342880102E-7</v>
      </c>
      <c r="F154">
        <f t="shared" si="6"/>
        <v>-7.0960079141057504E-7</v>
      </c>
      <c r="G154">
        <f t="shared" si="7"/>
        <v>-1037794.2469724978</v>
      </c>
      <c r="H154">
        <f t="shared" si="8"/>
        <v>-435840.59615419927</v>
      </c>
    </row>
    <row r="155" spans="1:8" x14ac:dyDescent="0.2">
      <c r="A155">
        <v>292.97706604003901</v>
      </c>
      <c r="B155">
        <v>-16060.760253906201</v>
      </c>
      <c r="C155">
        <v>-7.1884726330932302E-4</v>
      </c>
      <c r="D155" s="1">
        <v>5.3408418818159902E-7</v>
      </c>
      <c r="F155">
        <f t="shared" si="6"/>
        <v>-7.1884726330932302E-7</v>
      </c>
      <c r="G155">
        <f t="shared" si="7"/>
        <v>-1278074.692111508</v>
      </c>
      <c r="H155">
        <f t="shared" si="8"/>
        <v>-441519.82858101546</v>
      </c>
    </row>
    <row r="156" spans="1:8" x14ac:dyDescent="0.2">
      <c r="A156">
        <v>292.97683715820301</v>
      </c>
      <c r="B156">
        <v>-19779.9072265625</v>
      </c>
      <c r="C156">
        <v>-7.1903262243596397E-4</v>
      </c>
      <c r="D156" s="1">
        <v>5.7798701228528696E-7</v>
      </c>
      <c r="F156">
        <f t="shared" si="6"/>
        <v>-7.1903262243596392E-7</v>
      </c>
      <c r="G156">
        <f t="shared" si="7"/>
        <v>-1574035.004503262</v>
      </c>
      <c r="H156">
        <f t="shared" si="8"/>
        <v>-441633.67714662541</v>
      </c>
    </row>
    <row r="157" spans="1:8" x14ac:dyDescent="0.2">
      <c r="A157">
        <v>292.97682189941401</v>
      </c>
      <c r="B157">
        <v>-24359.4208984375</v>
      </c>
      <c r="C157">
        <v>-7.09535450051448E-4</v>
      </c>
      <c r="D157" s="1">
        <v>5.5494306584391705E-7</v>
      </c>
      <c r="F157">
        <f t="shared" si="6"/>
        <v>-7.0953545005144804E-7</v>
      </c>
      <c r="G157">
        <f t="shared" si="7"/>
        <v>-1938461.1234211733</v>
      </c>
      <c r="H157">
        <f t="shared" si="8"/>
        <v>-435800.4631424268</v>
      </c>
    </row>
    <row r="158" spans="1:8" x14ac:dyDescent="0.2">
      <c r="A158">
        <v>292.97669982910202</v>
      </c>
      <c r="B158">
        <v>-29999.4970703125</v>
      </c>
      <c r="C158">
        <v>-6.9026563221267101E-4</v>
      </c>
      <c r="D158" s="1">
        <v>8.4222725386331899E-7</v>
      </c>
      <c r="F158">
        <f t="shared" si="6"/>
        <v>-6.9026563221267106E-7</v>
      </c>
      <c r="G158">
        <f t="shared" si="7"/>
        <v>-2387284.1245055334</v>
      </c>
      <c r="H158">
        <f t="shared" si="8"/>
        <v>-423964.83810325462</v>
      </c>
    </row>
    <row r="159" spans="1:8" x14ac:dyDescent="0.2">
      <c r="A159">
        <v>292.97691345214798</v>
      </c>
      <c r="B159">
        <v>-24359.357421875</v>
      </c>
      <c r="C159">
        <v>-7.1073586396561703E-4</v>
      </c>
      <c r="D159" s="1">
        <v>7.8665008087333299E-7</v>
      </c>
      <c r="F159">
        <f t="shared" si="6"/>
        <v>-7.1073586396561703E-7</v>
      </c>
      <c r="G159">
        <f t="shared" si="7"/>
        <v>-1938456.0721168271</v>
      </c>
      <c r="H159">
        <f t="shared" si="8"/>
        <v>-436537.76378007571</v>
      </c>
    </row>
    <row r="160" spans="1:8" x14ac:dyDescent="0.2">
      <c r="A160">
        <v>292.97576904296898</v>
      </c>
      <c r="B160">
        <v>-19779.5625</v>
      </c>
      <c r="C160">
        <v>-7.1974733417812101E-4</v>
      </c>
      <c r="D160" s="1">
        <v>5.4621984049997203E-7</v>
      </c>
      <c r="F160">
        <f t="shared" si="6"/>
        <v>-7.1974733417812101E-7</v>
      </c>
      <c r="G160">
        <f t="shared" si="7"/>
        <v>-1574007.5720350435</v>
      </c>
      <c r="H160">
        <f t="shared" si="8"/>
        <v>-442072.65691602638</v>
      </c>
    </row>
    <row r="161" spans="1:8" x14ac:dyDescent="0.2">
      <c r="A161">
        <v>292.97662353515602</v>
      </c>
      <c r="B161">
        <v>-16060.9873046875</v>
      </c>
      <c r="C161">
        <v>-7.1928627326587897E-4</v>
      </c>
      <c r="D161" s="1">
        <v>7.2677655393098401E-7</v>
      </c>
      <c r="F161">
        <f t="shared" si="6"/>
        <v>-7.1928627326587899E-7</v>
      </c>
      <c r="G161">
        <f t="shared" si="7"/>
        <v>-1278092.7602385962</v>
      </c>
      <c r="H161">
        <f t="shared" si="8"/>
        <v>-441789.47084114124</v>
      </c>
    </row>
    <row r="162" spans="1:8" x14ac:dyDescent="0.2">
      <c r="A162">
        <v>292.97563171386702</v>
      </c>
      <c r="B162">
        <v>-13041.37890625</v>
      </c>
      <c r="C162">
        <v>-7.1228400280173604E-4</v>
      </c>
      <c r="D162" s="1">
        <v>4.6141242319372401E-7</v>
      </c>
      <c r="F162">
        <f t="shared" si="6"/>
        <v>-7.1228400280173609E-7</v>
      </c>
      <c r="G162">
        <f t="shared" si="7"/>
        <v>-1037799.9588320316</v>
      </c>
      <c r="H162">
        <f t="shared" si="8"/>
        <v>-437488.63892203028</v>
      </c>
    </row>
    <row r="163" spans="1:8" x14ac:dyDescent="0.2">
      <c r="A163">
        <v>292.97711181640602</v>
      </c>
      <c r="B163">
        <v>-10589.565917968799</v>
      </c>
      <c r="C163">
        <v>-6.98352170499303E-4</v>
      </c>
      <c r="D163" s="1">
        <v>4.5940583664497498E-7</v>
      </c>
      <c r="F163">
        <f t="shared" si="6"/>
        <v>-6.9835217049930304E-7</v>
      </c>
      <c r="G163">
        <f t="shared" si="7"/>
        <v>-842690.88052109932</v>
      </c>
      <c r="H163">
        <f t="shared" si="8"/>
        <v>-428931.63311015337</v>
      </c>
    </row>
    <row r="164" spans="1:8" x14ac:dyDescent="0.2">
      <c r="A164">
        <v>292.97695922851602</v>
      </c>
      <c r="B164">
        <v>-8598.5869140625</v>
      </c>
      <c r="C164">
        <v>-6.8024755584181196E-4</v>
      </c>
      <c r="D164" s="1">
        <v>3.2955529578208699E-7</v>
      </c>
      <c r="F164">
        <f t="shared" si="6"/>
        <v>-6.8024755584181193E-7</v>
      </c>
      <c r="G164">
        <f t="shared" si="7"/>
        <v>-684253.80548916664</v>
      </c>
      <c r="H164">
        <f t="shared" si="8"/>
        <v>-417811.68208842824</v>
      </c>
    </row>
    <row r="165" spans="1:8" x14ac:dyDescent="0.2">
      <c r="A165">
        <v>292.97596740722702</v>
      </c>
      <c r="B165">
        <v>-6981.7800292968795</v>
      </c>
      <c r="C165">
        <v>-6.5886929076127104E-4</v>
      </c>
      <c r="D165" s="1">
        <v>4.4382952502092801E-7</v>
      </c>
      <c r="F165">
        <f t="shared" si="6"/>
        <v>-6.5886929076127101E-7</v>
      </c>
      <c r="G165">
        <f t="shared" si="7"/>
        <v>-555592.4016214381</v>
      </c>
      <c r="H165">
        <f t="shared" si="8"/>
        <v>-404681.03749187459</v>
      </c>
    </row>
    <row r="166" spans="1:8" x14ac:dyDescent="0.2">
      <c r="A166">
        <v>292.975830078125</v>
      </c>
      <c r="B166">
        <v>-5669.439453125</v>
      </c>
      <c r="C166">
        <v>-6.3432931373817096E-4</v>
      </c>
      <c r="D166" s="1">
        <v>3.25950098521058E-7</v>
      </c>
      <c r="F166">
        <f t="shared" si="6"/>
        <v>-6.3432931373817094E-7</v>
      </c>
      <c r="G166">
        <f t="shared" si="7"/>
        <v>-451159.65676252783</v>
      </c>
      <c r="H166">
        <f t="shared" si="8"/>
        <v>-389608.45253308775</v>
      </c>
    </row>
    <row r="167" spans="1:8" x14ac:dyDescent="0.2">
      <c r="A167">
        <v>292.97586059570301</v>
      </c>
      <c r="B167">
        <v>-4603.19287109375</v>
      </c>
      <c r="C167">
        <v>-6.0665682055574403E-4</v>
      </c>
      <c r="D167" s="1">
        <v>3.6568965817735098E-7</v>
      </c>
      <c r="F167">
        <f t="shared" si="6"/>
        <v>-6.0665682055574405E-7</v>
      </c>
      <c r="G167">
        <f t="shared" si="7"/>
        <v>-366310.44971997204</v>
      </c>
      <c r="H167">
        <f t="shared" si="8"/>
        <v>-372611.85941806744</v>
      </c>
    </row>
    <row r="168" spans="1:8" x14ac:dyDescent="0.2">
      <c r="A168">
        <v>292.97622680664102</v>
      </c>
      <c r="B168">
        <v>-3738.57739257812</v>
      </c>
      <c r="C168">
        <v>-5.7737496328001095E-4</v>
      </c>
      <c r="D168" s="1">
        <v>3.9024425495313998E-7</v>
      </c>
      <c r="F168">
        <f t="shared" si="6"/>
        <v>-5.7737496328001098E-7</v>
      </c>
      <c r="G168">
        <f t="shared" si="7"/>
        <v>-297506.53608020855</v>
      </c>
      <c r="H168">
        <f t="shared" si="8"/>
        <v>-354626.78628111619</v>
      </c>
    </row>
    <row r="169" spans="1:8" x14ac:dyDescent="0.2">
      <c r="A169">
        <v>292.97785949707003</v>
      </c>
      <c r="B169">
        <v>-3036.07836914063</v>
      </c>
      <c r="C169">
        <v>-5.4627292456574698E-4</v>
      </c>
      <c r="D169" s="1">
        <v>4.1096245734423E-7</v>
      </c>
      <c r="F169">
        <f t="shared" si="6"/>
        <v>-5.4627292456574696E-7</v>
      </c>
      <c r="G169">
        <f t="shared" si="7"/>
        <v>-241603.44003155571</v>
      </c>
      <c r="H169">
        <f t="shared" si="8"/>
        <v>-335523.74798279419</v>
      </c>
    </row>
    <row r="170" spans="1:8" x14ac:dyDescent="0.2">
      <c r="A170">
        <v>292.97636413574202</v>
      </c>
      <c r="B170">
        <v>-2464.4620361328102</v>
      </c>
      <c r="C170">
        <v>-5.1449179599628804E-4</v>
      </c>
      <c r="D170" s="1">
        <v>4.2571567661936798E-7</v>
      </c>
      <c r="F170">
        <f t="shared" si="6"/>
        <v>-5.1449179599628809E-7</v>
      </c>
      <c r="G170">
        <f t="shared" si="7"/>
        <v>-196115.65755642697</v>
      </c>
      <c r="H170">
        <f t="shared" si="8"/>
        <v>-316003.60906830453</v>
      </c>
    </row>
    <row r="171" spans="1:8" x14ac:dyDescent="0.2">
      <c r="A171">
        <v>292.97584533691401</v>
      </c>
      <c r="B171">
        <v>-2001.16552734375</v>
      </c>
      <c r="C171">
        <v>-4.8173872888994601E-4</v>
      </c>
      <c r="D171" s="1">
        <v>3.4382207233202798E-7</v>
      </c>
      <c r="F171">
        <f t="shared" si="6"/>
        <v>-4.8173872888994603E-7</v>
      </c>
      <c r="G171">
        <f t="shared" si="7"/>
        <v>-159247.69281092862</v>
      </c>
      <c r="H171">
        <f t="shared" si="8"/>
        <v>-295886.50031321152</v>
      </c>
    </row>
    <row r="172" spans="1:8" x14ac:dyDescent="0.2">
      <c r="A172">
        <v>292.97668457031301</v>
      </c>
      <c r="B172">
        <v>-1624.5884399414099</v>
      </c>
      <c r="C172">
        <v>-4.4941014542418801E-4</v>
      </c>
      <c r="D172" s="1">
        <v>3.0743544163569001E-7</v>
      </c>
      <c r="F172">
        <f t="shared" si="6"/>
        <v>-4.4941014542418801E-7</v>
      </c>
      <c r="G172">
        <f t="shared" si="7"/>
        <v>-129280.64035331307</v>
      </c>
      <c r="H172">
        <f t="shared" si="8"/>
        <v>-276030.11167738738</v>
      </c>
    </row>
    <row r="173" spans="1:8" x14ac:dyDescent="0.2">
      <c r="A173">
        <v>292.97770690917997</v>
      </c>
      <c r="B173">
        <v>-1319.9945678710901</v>
      </c>
      <c r="C173">
        <v>-4.1722150865754199E-4</v>
      </c>
      <c r="D173" s="1">
        <v>3.8127286645031198E-7</v>
      </c>
      <c r="F173">
        <f t="shared" si="6"/>
        <v>-4.1722150865754198E-7</v>
      </c>
      <c r="G173">
        <f t="shared" si="7"/>
        <v>-105041.83016556715</v>
      </c>
      <c r="H173">
        <f t="shared" si="8"/>
        <v>-256259.67905163128</v>
      </c>
    </row>
    <row r="174" spans="1:8" x14ac:dyDescent="0.2">
      <c r="A174">
        <v>292.97805786132801</v>
      </c>
      <c r="B174">
        <v>-1071.9485473632801</v>
      </c>
      <c r="C174">
        <v>-3.8664643855037102E-4</v>
      </c>
      <c r="D174" s="1">
        <v>3.49983795429214E-7</v>
      </c>
      <c r="F174">
        <f t="shared" si="6"/>
        <v>-3.8664643855037102E-7</v>
      </c>
      <c r="G174">
        <f t="shared" si="7"/>
        <v>-85302.955026521362</v>
      </c>
      <c r="H174">
        <f t="shared" si="8"/>
        <v>-237480.30768639347</v>
      </c>
    </row>
    <row r="175" spans="1:8" x14ac:dyDescent="0.2">
      <c r="A175">
        <v>292.97856140136702</v>
      </c>
      <c r="B175">
        <v>-870.53543090820301</v>
      </c>
      <c r="C175">
        <v>-3.5873192172624198E-4</v>
      </c>
      <c r="D175" s="1">
        <v>3.32155044888071E-7</v>
      </c>
      <c r="F175">
        <f t="shared" si="6"/>
        <v>-3.5873192172624199E-7</v>
      </c>
      <c r="G175">
        <f t="shared" si="7"/>
        <v>-69275.008482836813</v>
      </c>
      <c r="H175">
        <f t="shared" si="8"/>
        <v>-220335.06235796004</v>
      </c>
    </row>
    <row r="176" spans="1:8" x14ac:dyDescent="0.2">
      <c r="A176">
        <v>292.97685241699202</v>
      </c>
      <c r="B176">
        <v>-706.92074584960903</v>
      </c>
      <c r="C176">
        <v>-3.30552850747848E-4</v>
      </c>
      <c r="D176" s="1">
        <v>3.1897801674352999E-7</v>
      </c>
      <c r="F176">
        <f t="shared" si="6"/>
        <v>-3.30552850747848E-7</v>
      </c>
      <c r="G176">
        <f t="shared" si="7"/>
        <v>-56254.965538087366</v>
      </c>
      <c r="H176">
        <f t="shared" si="8"/>
        <v>-203027.32645495905</v>
      </c>
    </row>
    <row r="177" spans="1:8" x14ac:dyDescent="0.2">
      <c r="A177">
        <v>292.97795104980497</v>
      </c>
      <c r="B177">
        <v>-574.12228393554699</v>
      </c>
      <c r="C177">
        <v>-3.0580647637350802E-4</v>
      </c>
      <c r="D177" s="1">
        <v>2.90760290487192E-7</v>
      </c>
      <c r="F177">
        <f t="shared" si="6"/>
        <v>-3.05806476373508E-7</v>
      </c>
      <c r="G177">
        <f t="shared" si="7"/>
        <v>-45687.199713775481</v>
      </c>
      <c r="H177">
        <f t="shared" si="8"/>
        <v>-187827.97114064562</v>
      </c>
    </row>
    <row r="178" spans="1:8" x14ac:dyDescent="0.2">
      <c r="A178">
        <v>292.97706604003901</v>
      </c>
      <c r="B178">
        <v>-466.20196533203102</v>
      </c>
      <c r="C178">
        <v>-2.8384884129606798E-4</v>
      </c>
      <c r="D178" s="1">
        <v>3.0406076172251603E-7</v>
      </c>
      <c r="F178">
        <f t="shared" si="6"/>
        <v>-2.83848841296068E-7</v>
      </c>
      <c r="G178">
        <f t="shared" si="7"/>
        <v>-37099.173630874582</v>
      </c>
      <c r="H178">
        <f t="shared" si="8"/>
        <v>-174341.4743975063</v>
      </c>
    </row>
    <row r="179" spans="1:8" x14ac:dyDescent="0.2">
      <c r="A179">
        <v>292.97738647460898</v>
      </c>
      <c r="B179">
        <v>-378.647216796875</v>
      </c>
      <c r="C179">
        <v>-2.62783354251235E-4</v>
      </c>
      <c r="D179" s="1">
        <v>3.0856708548227502E-7</v>
      </c>
      <c r="F179">
        <f t="shared" si="6"/>
        <v>-2.6278335425123502E-7</v>
      </c>
      <c r="G179">
        <f t="shared" si="7"/>
        <v>-30131.788120605601</v>
      </c>
      <c r="H179">
        <f t="shared" si="8"/>
        <v>-161402.93974107251</v>
      </c>
    </row>
    <row r="180" spans="1:8" x14ac:dyDescent="0.2">
      <c r="A180">
        <v>292.97755432128901</v>
      </c>
      <c r="B180">
        <v>-307.44486999511702</v>
      </c>
      <c r="C180">
        <v>-2.44087084870888E-4</v>
      </c>
      <c r="D180" s="1">
        <v>3.4923783194398899E-7</v>
      </c>
      <c r="F180">
        <f t="shared" si="6"/>
        <v>-2.4408708487088801E-7</v>
      </c>
      <c r="G180">
        <f t="shared" si="7"/>
        <v>-24465.685393984004</v>
      </c>
      <c r="H180">
        <f t="shared" si="8"/>
        <v>-149919.59122846471</v>
      </c>
    </row>
    <row r="181" spans="1:8" x14ac:dyDescent="0.2">
      <c r="A181">
        <v>292.97787475585898</v>
      </c>
      <c r="B181">
        <v>-249.72576904296901</v>
      </c>
      <c r="C181">
        <v>-2.28095124159932E-4</v>
      </c>
      <c r="D181" s="1">
        <v>3.1453061530872202E-7</v>
      </c>
      <c r="F181">
        <f t="shared" si="6"/>
        <v>-2.28095124159932E-7</v>
      </c>
      <c r="G181">
        <f t="shared" si="7"/>
        <v>-19872.545280306767</v>
      </c>
      <c r="H181">
        <f t="shared" si="8"/>
        <v>-140097.24354466007</v>
      </c>
    </row>
    <row r="182" spans="1:8" x14ac:dyDescent="0.2">
      <c r="A182">
        <v>292.97840881347702</v>
      </c>
      <c r="B182">
        <v>-202.82047271728501</v>
      </c>
      <c r="C182">
        <v>-2.1486149163102899E-4</v>
      </c>
      <c r="D182" s="1">
        <v>4.3023792079325799E-7</v>
      </c>
      <c r="F182">
        <f t="shared" si="6"/>
        <v>-2.14861491631029E-7</v>
      </c>
      <c r="G182">
        <f t="shared" si="7"/>
        <v>-16139.940396595404</v>
      </c>
      <c r="H182">
        <f t="shared" si="8"/>
        <v>-131969.07576286083</v>
      </c>
    </row>
    <row r="183" spans="1:8" x14ac:dyDescent="0.2">
      <c r="A183">
        <v>292.97694396972702</v>
      </c>
      <c r="B183">
        <v>-164.95848083496099</v>
      </c>
      <c r="C183">
        <v>-2.0406833944558E-4</v>
      </c>
      <c r="D183" s="1">
        <v>3.5071112017076198E-7</v>
      </c>
      <c r="F183">
        <f t="shared" si="6"/>
        <v>-2.0406833944558E-7</v>
      </c>
      <c r="G183">
        <f t="shared" si="7"/>
        <v>-13126.978814906863</v>
      </c>
      <c r="H183">
        <f t="shared" si="8"/>
        <v>-125339.86404293292</v>
      </c>
    </row>
    <row r="184" spans="1:8" x14ac:dyDescent="0.2">
      <c r="A184">
        <v>292.97679138183599</v>
      </c>
      <c r="B184">
        <v>-133.85169982910199</v>
      </c>
      <c r="C184">
        <v>-1.93025111784145E-4</v>
      </c>
      <c r="D184" s="1">
        <v>3.0622166986235701E-7</v>
      </c>
      <c r="F184">
        <f t="shared" si="6"/>
        <v>-1.9302511178414499E-7</v>
      </c>
      <c r="G184">
        <f t="shared" si="7"/>
        <v>-10651.579834527092</v>
      </c>
      <c r="H184">
        <f t="shared" si="8"/>
        <v>-118557.05462996889</v>
      </c>
    </row>
    <row r="185" spans="1:8" x14ac:dyDescent="0.2">
      <c r="A185">
        <v>292.97662353515602</v>
      </c>
      <c r="B185">
        <v>-108.655765533447</v>
      </c>
      <c r="C185">
        <v>-1.84493712436915E-4</v>
      </c>
      <c r="D185" s="1">
        <v>2.9451795746200498E-7</v>
      </c>
      <c r="F185">
        <f t="shared" si="6"/>
        <v>-1.84493712436915E-7</v>
      </c>
      <c r="G185">
        <f t="shared" si="7"/>
        <v>-8646.5510900410391</v>
      </c>
      <c r="H185">
        <f t="shared" si="8"/>
        <v>-113317.02358359026</v>
      </c>
    </row>
    <row r="186" spans="1:8" x14ac:dyDescent="0.2">
      <c r="A186">
        <v>292.97767639160202</v>
      </c>
      <c r="B186">
        <v>-88.235710144042997</v>
      </c>
      <c r="C186">
        <v>-1.7627345082504099E-4</v>
      </c>
      <c r="D186" s="1">
        <v>3.1662493296718598E-7</v>
      </c>
      <c r="F186">
        <f t="shared" si="6"/>
        <v>-1.76273450825041E-7</v>
      </c>
      <c r="G186">
        <f t="shared" si="7"/>
        <v>-7021.5747133240675</v>
      </c>
      <c r="H186">
        <f t="shared" si="8"/>
        <v>-108268.09499609425</v>
      </c>
    </row>
    <row r="187" spans="1:8" x14ac:dyDescent="0.2">
      <c r="A187">
        <v>292.978271484375</v>
      </c>
      <c r="B187">
        <v>-71.774364471435504</v>
      </c>
      <c r="C187">
        <v>-1.70157683266131E-4</v>
      </c>
      <c r="D187" s="1">
        <v>2.6001889725879201E-7</v>
      </c>
      <c r="F187">
        <f t="shared" si="6"/>
        <v>-1.70157683266131E-7</v>
      </c>
      <c r="G187">
        <f t="shared" si="7"/>
        <v>-5711.6224464541365</v>
      </c>
      <c r="H187">
        <f t="shared" si="8"/>
        <v>-104511.75789630431</v>
      </c>
    </row>
    <row r="188" spans="1:8" x14ac:dyDescent="0.2">
      <c r="A188">
        <v>292.97744750976602</v>
      </c>
      <c r="B188">
        <v>-58.318376541137702</v>
      </c>
      <c r="C188">
        <v>-1.6451891077824601E-4</v>
      </c>
      <c r="D188" s="1">
        <v>2.8905324335256399E-7</v>
      </c>
      <c r="F188">
        <f t="shared" si="6"/>
        <v>-1.6451891077824599E-7</v>
      </c>
      <c r="G188">
        <f t="shared" si="7"/>
        <v>-4640.8289498082477</v>
      </c>
      <c r="H188">
        <f t="shared" si="8"/>
        <v>-101048.39371683043</v>
      </c>
    </row>
    <row r="189" spans="1:8" x14ac:dyDescent="0.2">
      <c r="A189">
        <v>292.97686767578102</v>
      </c>
      <c r="B189">
        <v>-47.504552841186502</v>
      </c>
      <c r="C189">
        <v>-1.5979179454169099E-4</v>
      </c>
      <c r="D189" s="1">
        <v>2.6254209331460401E-7</v>
      </c>
      <c r="F189">
        <f t="shared" si="6"/>
        <v>-1.5979179454169099E-7</v>
      </c>
      <c r="G189">
        <f t="shared" si="7"/>
        <v>-3780.2922020224864</v>
      </c>
      <c r="H189">
        <f t="shared" si="8"/>
        <v>-98144.973676197667</v>
      </c>
    </row>
    <row r="190" spans="1:8" x14ac:dyDescent="0.2">
      <c r="A190">
        <v>292.97824096679699</v>
      </c>
      <c r="B190">
        <v>-38.4430961608887</v>
      </c>
      <c r="C190">
        <v>-1.56780952625906E-4</v>
      </c>
      <c r="D190" s="1">
        <v>2.9988178533353598E-7</v>
      </c>
      <c r="F190">
        <f t="shared" si="6"/>
        <v>-1.5678095262590601E-7</v>
      </c>
      <c r="G190">
        <f t="shared" si="7"/>
        <v>-3059.2043908812507</v>
      </c>
      <c r="H190">
        <f t="shared" si="8"/>
        <v>-96295.698490225521</v>
      </c>
    </row>
    <row r="191" spans="1:8" x14ac:dyDescent="0.2">
      <c r="A191">
        <v>292.97694396972702</v>
      </c>
      <c r="B191">
        <v>-31.706020355224599</v>
      </c>
      <c r="C191">
        <v>-1.5300524108169999E-4</v>
      </c>
      <c r="D191" s="1">
        <v>2.8370471748313303E-7</v>
      </c>
      <c r="F191">
        <f t="shared" si="6"/>
        <v>-1.5300524108169999E-7</v>
      </c>
      <c r="G191">
        <f t="shared" si="7"/>
        <v>-2523.0849326531234</v>
      </c>
      <c r="H191">
        <f t="shared" si="8"/>
        <v>-93976.636293209318</v>
      </c>
    </row>
    <row r="192" spans="1:8" x14ac:dyDescent="0.2">
      <c r="A192">
        <v>292.97735595703102</v>
      </c>
      <c r="B192">
        <v>-25.604516983032202</v>
      </c>
      <c r="C192">
        <v>-1.49925043021795E-4</v>
      </c>
      <c r="D192" s="1">
        <v>3.39335549817428E-7</v>
      </c>
      <c r="F192">
        <f t="shared" si="6"/>
        <v>-1.4992504302179499E-7</v>
      </c>
      <c r="G192">
        <f t="shared" si="7"/>
        <v>-2037.5427216649789</v>
      </c>
      <c r="H192">
        <f t="shared" si="8"/>
        <v>-92084.762193078495</v>
      </c>
    </row>
    <row r="193" spans="1:8" x14ac:dyDescent="0.2">
      <c r="A193">
        <v>292.97746276855497</v>
      </c>
      <c r="B193">
        <v>-20.864956855773901</v>
      </c>
      <c r="C193">
        <v>-1.4691597897661799E-4</v>
      </c>
      <c r="D193" s="1">
        <v>3.1739147888490202E-7</v>
      </c>
      <c r="F193">
        <f t="shared" si="6"/>
        <v>-1.4691597897661799E-7</v>
      </c>
      <c r="G193">
        <f t="shared" si="7"/>
        <v>-1660.3805104977732</v>
      </c>
      <c r="H193">
        <f t="shared" si="8"/>
        <v>-90236.578984729611</v>
      </c>
    </row>
    <row r="194" spans="1:8" x14ac:dyDescent="0.2">
      <c r="A194">
        <v>292.97694396972702</v>
      </c>
      <c r="B194">
        <v>-17.2149515151978</v>
      </c>
      <c r="C194">
        <v>-1.4545593127393799E-4</v>
      </c>
      <c r="D194" s="1">
        <v>3.3054996255163399E-7</v>
      </c>
      <c r="F194">
        <f t="shared" si="6"/>
        <v>-1.4545593127393799E-7</v>
      </c>
      <c r="G194">
        <f t="shared" si="7"/>
        <v>-1369.9223143655217</v>
      </c>
      <c r="H194">
        <f t="shared" si="8"/>
        <v>-89339.809887439478</v>
      </c>
    </row>
    <row r="195" spans="1:8" x14ac:dyDescent="0.2">
      <c r="A195">
        <v>292.97773742675798</v>
      </c>
      <c r="B195">
        <v>-13.7556185722351</v>
      </c>
      <c r="C195">
        <v>-1.43651462555362E-4</v>
      </c>
      <c r="D195" s="1">
        <v>3.64940585443566E-7</v>
      </c>
      <c r="F195">
        <f t="shared" si="6"/>
        <v>-1.43651462555362E-7</v>
      </c>
      <c r="G195">
        <f t="shared" si="7"/>
        <v>-1094.6373455289481</v>
      </c>
      <c r="H195">
        <f t="shared" si="8"/>
        <v>-88231.495562588738</v>
      </c>
    </row>
    <row r="196" spans="1:8" x14ac:dyDescent="0.2">
      <c r="A196">
        <v>292.97622680664102</v>
      </c>
      <c r="B196">
        <v>-11.4947934150696</v>
      </c>
      <c r="C196">
        <v>-1.4191814970699199E-4</v>
      </c>
      <c r="D196" s="1">
        <v>3.6520326590744598E-7</v>
      </c>
      <c r="F196">
        <f t="shared" si="6"/>
        <v>-1.4191814970699198E-7</v>
      </c>
      <c r="G196">
        <f t="shared" si="7"/>
        <v>-914.72659591424781</v>
      </c>
      <c r="H196">
        <f t="shared" si="8"/>
        <v>-87166.885553271233</v>
      </c>
    </row>
    <row r="197" spans="1:8" x14ac:dyDescent="0.2">
      <c r="A197">
        <v>292.97671508789102</v>
      </c>
      <c r="B197">
        <v>-9.4337210655212402</v>
      </c>
      <c r="C197">
        <v>-1.4010323014095199E-4</v>
      </c>
      <c r="D197" s="1">
        <v>3.2602799063017698E-7</v>
      </c>
      <c r="F197">
        <f t="shared" si="6"/>
        <v>-1.4010323014095198E-7</v>
      </c>
      <c r="G197">
        <f t="shared" si="7"/>
        <v>-750.71166966392366</v>
      </c>
      <c r="H197">
        <f t="shared" si="8"/>
        <v>-86052.152262088755</v>
      </c>
    </row>
    <row r="198" spans="1:8" x14ac:dyDescent="0.2">
      <c r="A198">
        <v>292.97717285156199</v>
      </c>
      <c r="B198">
        <v>-7.7539923191070601</v>
      </c>
      <c r="C198">
        <v>-1.3909310755191401E-4</v>
      </c>
      <c r="D198" s="1">
        <v>3.1001780890054601E-7</v>
      </c>
      <c r="F198">
        <f t="shared" si="6"/>
        <v>-1.3909310755191402E-7</v>
      </c>
      <c r="G198">
        <f t="shared" si="7"/>
        <v>-617.04310314123893</v>
      </c>
      <c r="H198">
        <f t="shared" si="8"/>
        <v>-85431.729572705939</v>
      </c>
    </row>
    <row r="199" spans="1:8" x14ac:dyDescent="0.2">
      <c r="A199">
        <v>292.97692871093699</v>
      </c>
      <c r="B199">
        <v>-6.5554828643798801</v>
      </c>
      <c r="C199">
        <v>-1.3803611197486901E-4</v>
      </c>
      <c r="D199" s="1">
        <v>3.1234998108709902E-7</v>
      </c>
      <c r="F199">
        <f t="shared" si="6"/>
        <v>-1.3803611197486902E-7</v>
      </c>
      <c r="G199">
        <f t="shared" si="7"/>
        <v>-521.66875111013746</v>
      </c>
      <c r="H199">
        <f t="shared" si="8"/>
        <v>-84782.517243734488</v>
      </c>
    </row>
    <row r="200" spans="1:8" x14ac:dyDescent="0.2">
      <c r="A200">
        <v>292.97802734375</v>
      </c>
      <c r="B200">
        <v>-5.1572217941284197</v>
      </c>
      <c r="C200">
        <v>-1.36532787621462E-4</v>
      </c>
      <c r="D200" s="1">
        <v>3.2560468879510503E-7</v>
      </c>
      <c r="F200">
        <f t="shared" si="6"/>
        <v>-1.36532787621462E-7</v>
      </c>
      <c r="G200">
        <f t="shared" si="7"/>
        <v>-410.39867057839552</v>
      </c>
      <c r="H200">
        <f t="shared" si="8"/>
        <v>-83859.167396421617</v>
      </c>
    </row>
    <row r="201" spans="1:8" x14ac:dyDescent="0.2">
      <c r="A201">
        <v>292.97906494140602</v>
      </c>
      <c r="B201">
        <v>-4.2674195766449001</v>
      </c>
      <c r="C201">
        <v>-1.36057513780527E-4</v>
      </c>
      <c r="D201" s="1">
        <v>3.6875097050964399E-7</v>
      </c>
      <c r="F201">
        <f t="shared" ref="F201:F257" si="9">C201/1000</f>
        <v>-1.3605751378052698E-7</v>
      </c>
      <c r="G201">
        <f t="shared" ref="G201:G257" si="10">(B201*1000)/(4*PI())</f>
        <v>-339.59045993507959</v>
      </c>
      <c r="H201">
        <f t="shared" ref="H201:H257" si="11">F201/$G$4</f>
        <v>-83567.251664820127</v>
      </c>
    </row>
    <row r="202" spans="1:8" x14ac:dyDescent="0.2">
      <c r="A202">
        <v>292.97837829589798</v>
      </c>
      <c r="B202">
        <v>-3.7226426601409899</v>
      </c>
      <c r="C202">
        <v>-1.3531333405497701E-4</v>
      </c>
      <c r="D202" s="1">
        <v>2.8352591759172701E-7</v>
      </c>
      <c r="F202">
        <f t="shared" si="9"/>
        <v>-1.35313334054977E-7</v>
      </c>
      <c r="G202">
        <f t="shared" si="10"/>
        <v>-296.23849036310054</v>
      </c>
      <c r="H202">
        <f t="shared" si="11"/>
        <v>-83110.172502626941</v>
      </c>
    </row>
    <row r="203" spans="1:8" x14ac:dyDescent="0.2">
      <c r="A203">
        <v>292.97953796386702</v>
      </c>
      <c r="B203">
        <v>-3.0053529739379901</v>
      </c>
      <c r="C203">
        <v>-1.3456094317191699E-4</v>
      </c>
      <c r="D203" s="1">
        <v>3.1467328863582E-7</v>
      </c>
      <c r="F203">
        <f t="shared" si="9"/>
        <v>-1.34560943171917E-7</v>
      </c>
      <c r="G203">
        <f t="shared" si="10"/>
        <v>-239.15839076907963</v>
      </c>
      <c r="H203">
        <f t="shared" si="11"/>
        <v>-82648.050003634242</v>
      </c>
    </row>
    <row r="204" spans="1:8" x14ac:dyDescent="0.2">
      <c r="A204">
        <v>292.97991943359398</v>
      </c>
      <c r="B204">
        <v>-2.6240091323852499</v>
      </c>
      <c r="C204">
        <v>-1.3388778496184901E-4</v>
      </c>
      <c r="D204" s="1">
        <v>3.13214480979873E-7</v>
      </c>
      <c r="F204">
        <f t="shared" si="9"/>
        <v>-1.33887784961849E-7</v>
      </c>
      <c r="G204">
        <f t="shared" si="10"/>
        <v>-208.81201206869406</v>
      </c>
      <c r="H204">
        <f t="shared" si="11"/>
        <v>-82234.592635585199</v>
      </c>
    </row>
    <row r="205" spans="1:8" x14ac:dyDescent="0.2">
      <c r="A205">
        <v>292.97898864746099</v>
      </c>
      <c r="B205">
        <v>-2.14278948307037</v>
      </c>
      <c r="C205">
        <v>-1.33626065540575E-4</v>
      </c>
      <c r="D205" s="1">
        <v>2.6695033083644098E-7</v>
      </c>
      <c r="F205">
        <f t="shared" si="9"/>
        <v>-1.33626065540575E-7</v>
      </c>
      <c r="G205">
        <f t="shared" si="10"/>
        <v>-170.51776911798828</v>
      </c>
      <c r="H205">
        <f t="shared" si="11"/>
        <v>-82073.843169161351</v>
      </c>
    </row>
    <row r="206" spans="1:8" x14ac:dyDescent="0.2">
      <c r="A206">
        <v>292.97921752929699</v>
      </c>
      <c r="B206">
        <v>-1.69788825511932</v>
      </c>
      <c r="C206">
        <v>-1.32891549944543E-4</v>
      </c>
      <c r="D206" s="1">
        <v>2.8217690166473799E-7</v>
      </c>
      <c r="F206">
        <f t="shared" si="9"/>
        <v>-1.3289154994454301E-7</v>
      </c>
      <c r="G206">
        <f t="shared" si="10"/>
        <v>-135.11365430995642</v>
      </c>
      <c r="H206">
        <f t="shared" si="11"/>
        <v>-81622.699766935475</v>
      </c>
    </row>
    <row r="207" spans="1:8" x14ac:dyDescent="0.2">
      <c r="A207">
        <v>292.97740173339798</v>
      </c>
      <c r="B207">
        <v>-1.6706493496894801</v>
      </c>
      <c r="C207">
        <v>-1.3289788556457001E-4</v>
      </c>
      <c r="D207" s="1">
        <v>3.1418273841841199E-7</v>
      </c>
      <c r="F207">
        <f t="shared" si="9"/>
        <v>-1.3289788556457002E-7</v>
      </c>
      <c r="G207">
        <f t="shared" si="10"/>
        <v>-132.94605108817058</v>
      </c>
      <c r="H207">
        <f t="shared" si="11"/>
        <v>-81626.591138595424</v>
      </c>
    </row>
    <row r="208" spans="1:8" x14ac:dyDescent="0.2">
      <c r="A208">
        <v>292.97787475585898</v>
      </c>
      <c r="B208">
        <v>0.69913044571876504</v>
      </c>
      <c r="C208">
        <v>-1.3270824447736499E-4</v>
      </c>
      <c r="D208" s="1">
        <v>2.79221055661398E-7</v>
      </c>
      <c r="F208">
        <f t="shared" si="9"/>
        <v>-1.3270824447736499E-7</v>
      </c>
      <c r="G208">
        <f t="shared" si="10"/>
        <v>55.635033151090738</v>
      </c>
      <c r="H208">
        <f t="shared" si="11"/>
        <v>-81510.112569936464</v>
      </c>
    </row>
    <row r="209" spans="1:8" x14ac:dyDescent="0.2">
      <c r="A209">
        <v>292.97801208496099</v>
      </c>
      <c r="B209">
        <v>0.63557314872741699</v>
      </c>
      <c r="C209">
        <v>-1.3121873302356299E-4</v>
      </c>
      <c r="D209" s="1">
        <v>3.4140283272050499E-7</v>
      </c>
      <c r="F209">
        <f t="shared" si="9"/>
        <v>-1.3121873302356299E-7</v>
      </c>
      <c r="G209">
        <f t="shared" si="10"/>
        <v>50.577304158224393</v>
      </c>
      <c r="H209">
        <f t="shared" si="11"/>
        <v>-80595.246679337492</v>
      </c>
    </row>
    <row r="210" spans="1:8" x14ac:dyDescent="0.2">
      <c r="A210">
        <v>292.976806640625</v>
      </c>
      <c r="B210">
        <v>1.15311127901077</v>
      </c>
      <c r="C210">
        <v>-1.3130649126820199E-4</v>
      </c>
      <c r="D210" s="1">
        <v>3.18234889569949E-7</v>
      </c>
      <c r="F210">
        <f t="shared" si="9"/>
        <v>-1.3130649126820198E-7</v>
      </c>
      <c r="G210">
        <f t="shared" si="10"/>
        <v>91.761679994790867</v>
      </c>
      <c r="H210">
        <f t="shared" si="11"/>
        <v>-80649.148261922921</v>
      </c>
    </row>
    <row r="211" spans="1:8" x14ac:dyDescent="0.2">
      <c r="A211">
        <v>292.97718811035202</v>
      </c>
      <c r="B211">
        <v>1.63433092832565</v>
      </c>
      <c r="C211">
        <v>-1.3043030682539401E-4</v>
      </c>
      <c r="D211" s="1">
        <v>3.5124426130400998E-7</v>
      </c>
      <c r="F211">
        <f t="shared" si="9"/>
        <v>-1.3043030682539402E-7</v>
      </c>
      <c r="G211">
        <f t="shared" si="10"/>
        <v>130.05592294549663</v>
      </c>
      <c r="H211">
        <f t="shared" si="11"/>
        <v>-80110.991097335573</v>
      </c>
    </row>
    <row r="212" spans="1:8" x14ac:dyDescent="0.2">
      <c r="A212">
        <v>292.97740173339798</v>
      </c>
      <c r="B212">
        <v>1.8794806003570601</v>
      </c>
      <c r="C212">
        <v>-1.30085934149578E-4</v>
      </c>
      <c r="D212" s="1">
        <v>3.29896818025936E-7</v>
      </c>
      <c r="F212">
        <f t="shared" si="9"/>
        <v>-1.3008593414957801E-7</v>
      </c>
      <c r="G212">
        <f t="shared" si="10"/>
        <v>149.56431399607462</v>
      </c>
      <c r="H212">
        <f t="shared" si="11"/>
        <v>-79899.475560510269</v>
      </c>
    </row>
    <row r="213" spans="1:8" x14ac:dyDescent="0.2">
      <c r="A213">
        <v>292.97767639160202</v>
      </c>
      <c r="B213">
        <v>3.0235121250152601</v>
      </c>
      <c r="C213">
        <v>-1.2999318097844999E-4</v>
      </c>
      <c r="D213" s="1">
        <v>3.1823238354619498E-7</v>
      </c>
      <c r="F213">
        <f t="shared" si="9"/>
        <v>-1.2999318097844999E-7</v>
      </c>
      <c r="G213">
        <f t="shared" si="10"/>
        <v>240.60345009722965</v>
      </c>
      <c r="H213">
        <f t="shared" si="11"/>
        <v>-79842.506067396724</v>
      </c>
    </row>
    <row r="214" spans="1:8" x14ac:dyDescent="0.2">
      <c r="A214">
        <v>292.97877502441401</v>
      </c>
      <c r="B214">
        <v>3.5228910446167001</v>
      </c>
      <c r="C214">
        <v>-1.2955815346029899E-4</v>
      </c>
      <c r="D214" s="1">
        <v>3.0826239501349502E-7</v>
      </c>
      <c r="F214">
        <f t="shared" si="9"/>
        <v>-1.2955815346029899E-7</v>
      </c>
      <c r="G214">
        <f t="shared" si="10"/>
        <v>280.34276186245933</v>
      </c>
      <c r="H214">
        <f t="shared" si="11"/>
        <v>-79575.309842210001</v>
      </c>
    </row>
    <row r="215" spans="1:8" x14ac:dyDescent="0.2">
      <c r="A215">
        <v>292.97785949707003</v>
      </c>
      <c r="B215">
        <v>4.6850817203521702</v>
      </c>
      <c r="C215">
        <v>-1.2837063804066901E-4</v>
      </c>
      <c r="D215" s="1">
        <v>3.43848605770528E-7</v>
      </c>
      <c r="F215">
        <f t="shared" si="9"/>
        <v>-1.2837063804066901E-7</v>
      </c>
      <c r="G215">
        <f t="shared" si="10"/>
        <v>372.82695729176436</v>
      </c>
      <c r="H215">
        <f t="shared" si="11"/>
        <v>-78845.931528799454</v>
      </c>
    </row>
    <row r="216" spans="1:8" x14ac:dyDescent="0.2">
      <c r="A216">
        <v>292.97860717773398</v>
      </c>
      <c r="B216">
        <v>5.3842127323150599</v>
      </c>
      <c r="C216">
        <v>-1.28427830093421E-4</v>
      </c>
      <c r="D216" s="1">
        <v>2.8834949155048498E-7</v>
      </c>
      <c r="F216">
        <f t="shared" si="9"/>
        <v>-1.2842783009342099E-7</v>
      </c>
      <c r="G216">
        <f t="shared" si="10"/>
        <v>428.46203550313083</v>
      </c>
      <c r="H216">
        <f t="shared" si="11"/>
        <v>-78881.059193069901</v>
      </c>
    </row>
    <row r="217" spans="1:8" x14ac:dyDescent="0.2">
      <c r="A217">
        <v>292.97853088378901</v>
      </c>
      <c r="B217">
        <v>7.2818520069122297</v>
      </c>
      <c r="C217">
        <v>-1.27688816183986E-4</v>
      </c>
      <c r="D217" s="1">
        <v>3.3785071175554202E-7</v>
      </c>
      <c r="F217">
        <f t="shared" si="9"/>
        <v>-1.2768881618398601E-7</v>
      </c>
      <c r="G217">
        <f t="shared" si="10"/>
        <v>579.47137088185991</v>
      </c>
      <c r="H217">
        <f t="shared" si="11"/>
        <v>-78427.152902725837</v>
      </c>
    </row>
    <row r="218" spans="1:8" x14ac:dyDescent="0.2">
      <c r="A218">
        <v>292.97903442382801</v>
      </c>
      <c r="B218">
        <v>8.9252629280090297</v>
      </c>
      <c r="C218">
        <v>-1.2743677491476401E-4</v>
      </c>
      <c r="D218" s="1">
        <v>2.9974367823956899E-7</v>
      </c>
      <c r="F218">
        <f t="shared" si="9"/>
        <v>-1.2743677491476401E-7</v>
      </c>
      <c r="G218">
        <f t="shared" si="10"/>
        <v>710.24985669374018</v>
      </c>
      <c r="H218">
        <f t="shared" si="11"/>
        <v>-78272.347808984588</v>
      </c>
    </row>
    <row r="219" spans="1:8" x14ac:dyDescent="0.2">
      <c r="A219">
        <v>292.97843933105497</v>
      </c>
      <c r="B219">
        <v>10.9500169754028</v>
      </c>
      <c r="C219">
        <v>-1.26588841617062E-4</v>
      </c>
      <c r="D219" s="1">
        <v>3.3649239968668499E-7</v>
      </c>
      <c r="F219">
        <f t="shared" si="9"/>
        <v>-1.26588841617062E-7</v>
      </c>
      <c r="G219">
        <f t="shared" si="10"/>
        <v>871.3746642877602</v>
      </c>
      <c r="H219">
        <f t="shared" si="11"/>
        <v>-77751.542648614341</v>
      </c>
    </row>
    <row r="220" spans="1:8" x14ac:dyDescent="0.2">
      <c r="A220">
        <v>292.97772216796898</v>
      </c>
      <c r="B220">
        <v>13.455991268158</v>
      </c>
      <c r="C220">
        <v>-1.25625716903152E-4</v>
      </c>
      <c r="D220" s="1">
        <v>3.19429868791413E-7</v>
      </c>
      <c r="F220">
        <f t="shared" si="9"/>
        <v>-1.25625716903152E-7</v>
      </c>
      <c r="G220">
        <f t="shared" si="10"/>
        <v>1070.7937622643635</v>
      </c>
      <c r="H220">
        <f t="shared" si="11"/>
        <v>-77159.986305156854</v>
      </c>
    </row>
    <row r="221" spans="1:8" x14ac:dyDescent="0.2">
      <c r="A221">
        <v>292.97898864746099</v>
      </c>
      <c r="B221">
        <v>16.642936706543001</v>
      </c>
      <c r="C221">
        <v>-1.2526763711459999E-4</v>
      </c>
      <c r="D221" s="1">
        <v>2.9048397319797998E-7</v>
      </c>
      <c r="F221">
        <f t="shared" si="9"/>
        <v>-1.252676371146E-7</v>
      </c>
      <c r="G221">
        <f t="shared" si="10"/>
        <v>1324.4028222059337</v>
      </c>
      <c r="H221">
        <f t="shared" si="11"/>
        <v>-76940.051786477634</v>
      </c>
    </row>
    <row r="222" spans="1:8" x14ac:dyDescent="0.2">
      <c r="A222">
        <v>292.97807312011702</v>
      </c>
      <c r="B222">
        <v>20.392818450927699</v>
      </c>
      <c r="C222">
        <v>-1.2434745640239699E-4</v>
      </c>
      <c r="D222" s="1">
        <v>3.07768105252109E-7</v>
      </c>
      <c r="F222">
        <f t="shared" si="9"/>
        <v>-1.2434745640239699E-7</v>
      </c>
      <c r="G222">
        <f t="shared" si="10"/>
        <v>1622.8089300203756</v>
      </c>
      <c r="H222">
        <f t="shared" si="11"/>
        <v>-76374.87187823806</v>
      </c>
    </row>
    <row r="223" spans="1:8" x14ac:dyDescent="0.2">
      <c r="A223">
        <v>292.97808837890602</v>
      </c>
      <c r="B223">
        <v>25.186855316162099</v>
      </c>
      <c r="C223">
        <v>-1.2217884111722599E-4</v>
      </c>
      <c r="D223" s="1">
        <v>3.2097614595631401E-7</v>
      </c>
      <c r="F223">
        <f t="shared" si="9"/>
        <v>-1.22178841117226E-7</v>
      </c>
      <c r="G223">
        <f t="shared" si="10"/>
        <v>2004.3062622537902</v>
      </c>
      <c r="H223">
        <f t="shared" si="11"/>
        <v>-75042.896787230653</v>
      </c>
    </row>
    <row r="224" spans="1:8" x14ac:dyDescent="0.2">
      <c r="A224">
        <v>292.97880554199202</v>
      </c>
      <c r="B224">
        <v>31.1158447265625</v>
      </c>
      <c r="C224">
        <v>-1.2043972576555E-4</v>
      </c>
      <c r="D224" s="1">
        <v>2.8278561649040999E-7</v>
      </c>
      <c r="F224">
        <f t="shared" si="9"/>
        <v>-1.2043972576554999E-7</v>
      </c>
      <c r="G224">
        <f t="shared" si="10"/>
        <v>2476.1202483561533</v>
      </c>
      <c r="H224">
        <f t="shared" si="11"/>
        <v>-73974.722849390688</v>
      </c>
    </row>
    <row r="225" spans="1:8" x14ac:dyDescent="0.2">
      <c r="A225">
        <v>292.97843933105497</v>
      </c>
      <c r="B225">
        <v>38.216104507446303</v>
      </c>
      <c r="C225">
        <v>-1.1890002916179301E-4</v>
      </c>
      <c r="D225" s="1">
        <v>3.05304513353316E-7</v>
      </c>
      <c r="F225">
        <f t="shared" si="9"/>
        <v>-1.1890002916179301E-7</v>
      </c>
      <c r="G225">
        <f t="shared" si="10"/>
        <v>3041.1409690382707</v>
      </c>
      <c r="H225">
        <f t="shared" si="11"/>
        <v>-73029.032971643974</v>
      </c>
    </row>
    <row r="226" spans="1:8" x14ac:dyDescent="0.2">
      <c r="A226">
        <v>292.97944641113298</v>
      </c>
      <c r="B226">
        <v>47.114128112792997</v>
      </c>
      <c r="C226">
        <v>-1.17140233948629E-4</v>
      </c>
      <c r="D226" s="1">
        <v>3.78272369978752E-7</v>
      </c>
      <c r="F226">
        <f t="shared" si="9"/>
        <v>-1.17140233948629E-7</v>
      </c>
      <c r="G226">
        <f t="shared" si="10"/>
        <v>3749.2231893079179</v>
      </c>
      <c r="H226">
        <f t="shared" si="11"/>
        <v>-71948.157352424256</v>
      </c>
    </row>
    <row r="227" spans="1:8" x14ac:dyDescent="0.2">
      <c r="A227">
        <v>292.98051452636702</v>
      </c>
      <c r="B227">
        <v>58.0187473297119</v>
      </c>
      <c r="C227">
        <v>-1.1477338772107001E-4</v>
      </c>
      <c r="D227" s="1">
        <v>2.9380134760138801E-7</v>
      </c>
      <c r="F227">
        <f t="shared" si="9"/>
        <v>-1.1477338772107001E-7</v>
      </c>
      <c r="G227">
        <f t="shared" si="10"/>
        <v>4616.9852147616757</v>
      </c>
      <c r="H227">
        <f t="shared" si="11"/>
        <v>-70494.42775782496</v>
      </c>
    </row>
    <row r="228" spans="1:8" x14ac:dyDescent="0.2">
      <c r="A228">
        <v>292.97918701171898</v>
      </c>
      <c r="B228">
        <v>71.565536499023395</v>
      </c>
      <c r="C228">
        <v>-1.10737428421261E-4</v>
      </c>
      <c r="D228" s="1">
        <v>2.9605170687587897E-7</v>
      </c>
      <c r="F228">
        <f t="shared" si="9"/>
        <v>-1.10737428421261E-7</v>
      </c>
      <c r="G228">
        <f t="shared" si="10"/>
        <v>5695.0044444215137</v>
      </c>
      <c r="H228">
        <f t="shared" si="11"/>
        <v>-68015.519999300406</v>
      </c>
    </row>
    <row r="229" spans="1:8" x14ac:dyDescent="0.2">
      <c r="A229">
        <v>292.97839355468699</v>
      </c>
      <c r="B229">
        <v>88.335586547851605</v>
      </c>
      <c r="C229">
        <v>-1.0651202571767099E-4</v>
      </c>
      <c r="D229" s="1">
        <v>3.2975107677430801E-7</v>
      </c>
      <c r="F229">
        <f t="shared" si="9"/>
        <v>-1.06512025717671E-7</v>
      </c>
      <c r="G229">
        <f t="shared" si="10"/>
        <v>7029.5226250062587</v>
      </c>
      <c r="H229">
        <f t="shared" si="11"/>
        <v>-65420.255090331775</v>
      </c>
    </row>
    <row r="230" spans="1:8" x14ac:dyDescent="0.2">
      <c r="A230">
        <v>292.97952270507801</v>
      </c>
      <c r="B230">
        <v>108.64668655395501</v>
      </c>
      <c r="C230">
        <v>-1.00476207244807E-4</v>
      </c>
      <c r="D230" s="1">
        <v>3.6600258886968E-7</v>
      </c>
      <c r="F230">
        <f t="shared" si="9"/>
        <v>-1.00476207244807E-7</v>
      </c>
      <c r="G230">
        <f t="shared" si="10"/>
        <v>8645.8286078088495</v>
      </c>
      <c r="H230">
        <f t="shared" si="11"/>
        <v>-61713.023146209729</v>
      </c>
    </row>
    <row r="231" spans="1:8" x14ac:dyDescent="0.2">
      <c r="A231">
        <v>292.97933959960898</v>
      </c>
      <c r="B231">
        <v>133.65194702148401</v>
      </c>
      <c r="C231" s="1">
        <v>-9.1886308056572406E-5</v>
      </c>
      <c r="D231" s="1">
        <v>4.1212839764319699E-7</v>
      </c>
      <c r="F231">
        <f t="shared" si="9"/>
        <v>-9.1886308056572403E-8</v>
      </c>
      <c r="G231">
        <f t="shared" si="10"/>
        <v>10635.684011162648</v>
      </c>
      <c r="H231">
        <f t="shared" si="11"/>
        <v>-56437.06118503082</v>
      </c>
    </row>
    <row r="232" spans="1:8" x14ac:dyDescent="0.2">
      <c r="A232">
        <v>292.97903442382801</v>
      </c>
      <c r="B232">
        <v>164.677001953125</v>
      </c>
      <c r="C232" s="1">
        <v>-8.1544815067533097E-5</v>
      </c>
      <c r="D232" s="1">
        <v>2.8711798380829499E-7</v>
      </c>
      <c r="F232">
        <f t="shared" si="9"/>
        <v>-8.15448150675331E-8</v>
      </c>
      <c r="G232">
        <f t="shared" si="10"/>
        <v>13104.579437196773</v>
      </c>
      <c r="H232">
        <f t="shared" si="11"/>
        <v>-50085.260955908096</v>
      </c>
    </row>
    <row r="233" spans="1:8" x14ac:dyDescent="0.2">
      <c r="A233">
        <v>292.97912597656199</v>
      </c>
      <c r="B233">
        <v>202.64795684814499</v>
      </c>
      <c r="C233" s="1">
        <v>-6.7025733627819006E-5</v>
      </c>
      <c r="D233" s="1">
        <v>3.1909195792702498E-7</v>
      </c>
      <c r="F233">
        <f t="shared" si="9"/>
        <v>-6.7025733627819012E-8</v>
      </c>
      <c r="G233">
        <f t="shared" si="10"/>
        <v>16126.212019927691</v>
      </c>
      <c r="H233">
        <f t="shared" si="11"/>
        <v>-41167.563587339384</v>
      </c>
    </row>
    <row r="234" spans="1:8" x14ac:dyDescent="0.2">
      <c r="A234">
        <v>292.97877502441401</v>
      </c>
      <c r="B234">
        <v>249.21730804443399</v>
      </c>
      <c r="C234" s="1">
        <v>-4.8182956945486001E-5</v>
      </c>
      <c r="D234" s="1">
        <v>3.2875163287150798E-7</v>
      </c>
      <c r="F234">
        <f t="shared" si="9"/>
        <v>-4.8182956945486003E-8</v>
      </c>
      <c r="G234">
        <f t="shared" si="10"/>
        <v>19832.083239663621</v>
      </c>
      <c r="H234">
        <f t="shared" si="11"/>
        <v>-29594.229507337292</v>
      </c>
    </row>
    <row r="235" spans="1:8" x14ac:dyDescent="0.2">
      <c r="A235">
        <v>292.97795104980497</v>
      </c>
      <c r="B235">
        <v>306.78207397460898</v>
      </c>
      <c r="C235" s="1">
        <v>-2.4377326316317301E-5</v>
      </c>
      <c r="D235" s="1">
        <v>2.90273726969984E-7</v>
      </c>
      <c r="F235">
        <f t="shared" si="9"/>
        <v>-2.4377326316317299E-8</v>
      </c>
      <c r="G235">
        <f t="shared" si="10"/>
        <v>24412.941762521259</v>
      </c>
      <c r="H235">
        <f t="shared" si="11"/>
        <v>-14972.684025942372</v>
      </c>
    </row>
    <row r="236" spans="1:8" x14ac:dyDescent="0.2">
      <c r="A236">
        <v>292.97958374023398</v>
      </c>
      <c r="B236">
        <v>377.97532653808599</v>
      </c>
      <c r="C236" s="1">
        <v>1.04388334831758E-5</v>
      </c>
      <c r="D236" s="1">
        <v>4.2643792130116302E-7</v>
      </c>
      <c r="F236">
        <f t="shared" si="9"/>
        <v>1.04388334831758E-8</v>
      </c>
      <c r="G236">
        <f t="shared" si="10"/>
        <v>30078.320792654817</v>
      </c>
      <c r="H236">
        <f t="shared" si="11"/>
        <v>6411.5872805295667</v>
      </c>
    </row>
    <row r="237" spans="1:8" x14ac:dyDescent="0.2">
      <c r="A237">
        <v>292.978515625</v>
      </c>
      <c r="B237">
        <v>465.56639099121099</v>
      </c>
      <c r="C237" s="1">
        <v>5.2452087743437799E-5</v>
      </c>
      <c r="D237" s="1">
        <v>3.0867703212421501E-7</v>
      </c>
      <c r="F237">
        <f t="shared" si="9"/>
        <v>5.2452087743437797E-8</v>
      </c>
      <c r="G237">
        <f t="shared" si="10"/>
        <v>37048.596231852644</v>
      </c>
      <c r="H237">
        <f t="shared" si="11"/>
        <v>32216.352445420354</v>
      </c>
    </row>
    <row r="238" spans="1:8" x14ac:dyDescent="0.2">
      <c r="A238">
        <v>292.97833251953102</v>
      </c>
      <c r="B238">
        <v>573.43225097656205</v>
      </c>
      <c r="C238">
        <v>1.0715524118701001E-4</v>
      </c>
      <c r="D238" s="1">
        <v>3.3171518084071E-7</v>
      </c>
      <c r="F238">
        <f t="shared" si="9"/>
        <v>1.0715524118701001E-7</v>
      </c>
      <c r="G238">
        <f t="shared" si="10"/>
        <v>45632.288635616089</v>
      </c>
      <c r="H238">
        <f t="shared" si="11"/>
        <v>65815.321467097005</v>
      </c>
    </row>
    <row r="239" spans="1:8" x14ac:dyDescent="0.2">
      <c r="A239">
        <v>292.97836303710898</v>
      </c>
      <c r="B239">
        <v>706.00372314453102</v>
      </c>
      <c r="C239">
        <v>1.6910087285390601E-4</v>
      </c>
      <c r="D239" s="1">
        <v>3.6192207990694102E-7</v>
      </c>
      <c r="F239">
        <f t="shared" si="9"/>
        <v>1.69100872853906E-7</v>
      </c>
      <c r="G239">
        <f t="shared" si="10"/>
        <v>56181.991189867033</v>
      </c>
      <c r="H239">
        <f t="shared" si="11"/>
        <v>103862.65929655428</v>
      </c>
    </row>
    <row r="240" spans="1:8" x14ac:dyDescent="0.2">
      <c r="A240">
        <v>292.97842407226602</v>
      </c>
      <c r="B240">
        <v>870.00881958007801</v>
      </c>
      <c r="C240">
        <v>2.3543025267401099E-4</v>
      </c>
      <c r="D240" s="1">
        <v>3.7106192701930202E-7</v>
      </c>
      <c r="F240">
        <f t="shared" si="9"/>
        <v>2.3543025267401098E-7</v>
      </c>
      <c r="G240">
        <f t="shared" si="10"/>
        <v>69233.102084857179</v>
      </c>
      <c r="H240">
        <f t="shared" si="11"/>
        <v>144602.51865587974</v>
      </c>
    </row>
    <row r="241" spans="1:8" x14ac:dyDescent="0.2">
      <c r="A241">
        <v>292.97987365722702</v>
      </c>
      <c r="B241">
        <v>1071.4491577148401</v>
      </c>
      <c r="C241">
        <v>2.9557302004713202E-4</v>
      </c>
      <c r="D241" s="1">
        <v>3.8609603210373999E-7</v>
      </c>
      <c r="F241">
        <f t="shared" si="9"/>
        <v>2.9557302004713203E-7</v>
      </c>
      <c r="G241">
        <f t="shared" si="10"/>
        <v>85263.214860982276</v>
      </c>
      <c r="H241">
        <f t="shared" si="11"/>
        <v>181542.52760676853</v>
      </c>
    </row>
    <row r="242" spans="1:8" x14ac:dyDescent="0.2">
      <c r="A242">
        <v>292.97979736328102</v>
      </c>
      <c r="B242">
        <v>1319.14111328125</v>
      </c>
      <c r="C242">
        <v>3.5252173195836898E-4</v>
      </c>
      <c r="D242" s="1">
        <v>3.13375887206023E-7</v>
      </c>
      <c r="F242">
        <f t="shared" si="9"/>
        <v>3.5252173195836898E-7</v>
      </c>
      <c r="G242">
        <f t="shared" si="10"/>
        <v>104973.91440722841</v>
      </c>
      <c r="H242">
        <f t="shared" si="11"/>
        <v>216520.73063310378</v>
      </c>
    </row>
    <row r="243" spans="1:8" x14ac:dyDescent="0.2">
      <c r="A243">
        <v>292.97898864746099</v>
      </c>
      <c r="B243">
        <v>1624.5703735351599</v>
      </c>
      <c r="C243">
        <v>4.0311899084685199E-4</v>
      </c>
      <c r="D243" s="1">
        <v>3.5833316490643198E-7</v>
      </c>
      <c r="F243">
        <f t="shared" si="9"/>
        <v>4.0311899084685201E-7</v>
      </c>
      <c r="G243">
        <f t="shared" si="10"/>
        <v>129279.20267438378</v>
      </c>
      <c r="H243">
        <f t="shared" si="11"/>
        <v>247597.83728892953</v>
      </c>
    </row>
    <row r="244" spans="1:8" x14ac:dyDescent="0.2">
      <c r="A244">
        <v>292.97898864746099</v>
      </c>
      <c r="B244">
        <v>2001.8828735351599</v>
      </c>
      <c r="C244">
        <v>4.4897053795552201E-4</v>
      </c>
      <c r="D244" s="1">
        <v>3.5364829070881399E-7</v>
      </c>
      <c r="F244">
        <f t="shared" si="9"/>
        <v>4.48970537955522E-7</v>
      </c>
      <c r="G244">
        <f t="shared" si="10"/>
        <v>159304.77740706416</v>
      </c>
      <c r="H244">
        <f t="shared" si="11"/>
        <v>275760.10242213221</v>
      </c>
    </row>
    <row r="245" spans="1:8" x14ac:dyDescent="0.2">
      <c r="A245">
        <v>292.98013305664102</v>
      </c>
      <c r="B245">
        <v>2464.3621826171898</v>
      </c>
      <c r="C245">
        <v>4.9083112557264099E-4</v>
      </c>
      <c r="D245" s="1">
        <v>3.3813346050931199E-7</v>
      </c>
      <c r="F245">
        <f t="shared" si="9"/>
        <v>4.9083112557264103E-7</v>
      </c>
      <c r="G245">
        <f t="shared" si="10"/>
        <v>196107.71146612891</v>
      </c>
      <c r="H245">
        <f t="shared" si="11"/>
        <v>301471.09891939227</v>
      </c>
    </row>
    <row r="246" spans="1:8" x14ac:dyDescent="0.2">
      <c r="A246">
        <v>292.98001098632801</v>
      </c>
      <c r="B246">
        <v>3035.22485351562</v>
      </c>
      <c r="C246">
        <v>5.2965884200001595E-4</v>
      </c>
      <c r="D246" s="1">
        <v>2.9619485331829098E-7</v>
      </c>
      <c r="F246">
        <f t="shared" si="9"/>
        <v>5.2965884200001596E-7</v>
      </c>
      <c r="G246">
        <f t="shared" si="10"/>
        <v>241535.51941619243</v>
      </c>
      <c r="H246">
        <f t="shared" si="11"/>
        <v>325319.28973295324</v>
      </c>
    </row>
    <row r="247" spans="1:8" x14ac:dyDescent="0.2">
      <c r="A247">
        <v>292.98060607910202</v>
      </c>
      <c r="B247">
        <v>3738.06884765625</v>
      </c>
      <c r="C247">
        <v>5.6509965056618199E-4</v>
      </c>
      <c r="D247" s="1">
        <v>3.0270708309614602E-7</v>
      </c>
      <c r="F247">
        <f t="shared" si="9"/>
        <v>5.6509965056618202E-7</v>
      </c>
      <c r="G247">
        <f t="shared" si="10"/>
        <v>297466.06736115861</v>
      </c>
      <c r="H247">
        <f t="shared" si="11"/>
        <v>347087.2236482458</v>
      </c>
    </row>
    <row r="248" spans="1:8" x14ac:dyDescent="0.2">
      <c r="A248">
        <v>292.97959899902298</v>
      </c>
      <c r="B248">
        <v>4604.0100097656205</v>
      </c>
      <c r="C248">
        <v>5.9801512053572401E-4</v>
      </c>
      <c r="D248" s="1">
        <v>3.2904723850925398E-7</v>
      </c>
      <c r="F248">
        <f t="shared" si="9"/>
        <v>5.9801512053572402E-7</v>
      </c>
      <c r="G248">
        <f t="shared" si="10"/>
        <v>366375.47554938192</v>
      </c>
      <c r="H248">
        <f t="shared" si="11"/>
        <v>367304.08110933093</v>
      </c>
    </row>
    <row r="249" spans="1:8" x14ac:dyDescent="0.2">
      <c r="A249">
        <v>292.97895812988298</v>
      </c>
      <c r="B249">
        <v>5669.693359375</v>
      </c>
      <c r="C249">
        <v>6.2772790687830597E-4</v>
      </c>
      <c r="D249" s="1">
        <v>3.6036915580362197E-7</v>
      </c>
      <c r="F249">
        <f t="shared" si="9"/>
        <v>6.2772790687830598E-7</v>
      </c>
      <c r="G249">
        <f t="shared" si="10"/>
        <v>451179.8619799125</v>
      </c>
      <c r="H249">
        <f t="shared" si="11"/>
        <v>385553.83318078879</v>
      </c>
    </row>
    <row r="250" spans="1:8" x14ac:dyDescent="0.2">
      <c r="A250">
        <v>292.98008728027298</v>
      </c>
      <c r="B250">
        <v>6981.9978027343705</v>
      </c>
      <c r="C250">
        <v>6.5381610099806895E-4</v>
      </c>
      <c r="D250" s="1">
        <v>3.96750813320238E-7</v>
      </c>
      <c r="F250">
        <f t="shared" si="9"/>
        <v>6.5381610099806893E-7</v>
      </c>
      <c r="G250">
        <f t="shared" si="10"/>
        <v>555609.73148096353</v>
      </c>
      <c r="H250">
        <f t="shared" si="11"/>
        <v>401577.34134957421</v>
      </c>
    </row>
    <row r="251" spans="1:8" x14ac:dyDescent="0.2">
      <c r="A251">
        <v>292.98219299316401</v>
      </c>
      <c r="B251">
        <v>8599.458984375</v>
      </c>
      <c r="C251">
        <v>6.7673154776788495E-4</v>
      </c>
      <c r="D251" s="1">
        <v>4.03739063989591E-7</v>
      </c>
      <c r="F251">
        <f t="shared" si="9"/>
        <v>6.7673154776788492E-7</v>
      </c>
      <c r="G251">
        <f t="shared" si="10"/>
        <v>684323.20263964566</v>
      </c>
      <c r="H251">
        <f t="shared" si="11"/>
        <v>415652.13114996732</v>
      </c>
    </row>
    <row r="252" spans="1:8" x14ac:dyDescent="0.2">
      <c r="A252">
        <v>292.98065185546898</v>
      </c>
      <c r="B252">
        <v>10589.946777343799</v>
      </c>
      <c r="C252">
        <v>6.94930048721088E-4</v>
      </c>
      <c r="D252" s="1">
        <v>3.4942206848785402E-7</v>
      </c>
      <c r="F252">
        <f t="shared" si="9"/>
        <v>6.9493004872108799E-7</v>
      </c>
      <c r="G252">
        <f t="shared" si="10"/>
        <v>842721.1883471763</v>
      </c>
      <c r="H252">
        <f t="shared" si="11"/>
        <v>426829.74763597758</v>
      </c>
    </row>
    <row r="253" spans="1:8" x14ac:dyDescent="0.2">
      <c r="A253">
        <v>292.98329162597702</v>
      </c>
      <c r="B253">
        <v>13041.669921875</v>
      </c>
      <c r="C253">
        <v>7.0911873289174697E-4</v>
      </c>
      <c r="D253" s="1">
        <v>4.6210224848578599E-7</v>
      </c>
      <c r="F253">
        <f t="shared" si="9"/>
        <v>7.0911873289174696E-7</v>
      </c>
      <c r="G253">
        <f t="shared" si="10"/>
        <v>1037823.1171196494</v>
      </c>
      <c r="H253">
        <f t="shared" si="11"/>
        <v>435544.513237198</v>
      </c>
    </row>
    <row r="254" spans="1:8" x14ac:dyDescent="0.2">
      <c r="A254">
        <v>292.98205566406301</v>
      </c>
      <c r="B254">
        <v>16061.033203125</v>
      </c>
      <c r="C254">
        <v>7.1752935871188404E-4</v>
      </c>
      <c r="D254" s="1">
        <v>4.8157947640220497E-7</v>
      </c>
      <c r="F254">
        <f t="shared" si="9"/>
        <v>7.1752935871188407E-7</v>
      </c>
      <c r="G254">
        <f t="shared" si="10"/>
        <v>1278096.4127202004</v>
      </c>
      <c r="H254">
        <f t="shared" si="11"/>
        <v>440710.36453816912</v>
      </c>
    </row>
    <row r="255" spans="1:8" x14ac:dyDescent="0.2">
      <c r="A255">
        <v>292.98223876953102</v>
      </c>
      <c r="B255">
        <v>19779.490234375</v>
      </c>
      <c r="C255">
        <v>7.1856773719817895E-4</v>
      </c>
      <c r="D255" s="1">
        <v>5.1301558734763895E-7</v>
      </c>
      <c r="F255">
        <f t="shared" si="9"/>
        <v>7.1856773719817898E-7</v>
      </c>
      <c r="G255">
        <f t="shared" si="10"/>
        <v>1574001.8213193263</v>
      </c>
      <c r="H255">
        <f t="shared" si="11"/>
        <v>441348.14215056557</v>
      </c>
    </row>
    <row r="256" spans="1:8" x14ac:dyDescent="0.2">
      <c r="A256">
        <v>292.98312377929699</v>
      </c>
      <c r="B256">
        <v>24359.5927734375</v>
      </c>
      <c r="C256">
        <v>7.1022354272179302E-4</v>
      </c>
      <c r="D256" s="1">
        <v>6.7993918055392797E-7</v>
      </c>
      <c r="F256">
        <f t="shared" si="9"/>
        <v>7.1022354272179304E-7</v>
      </c>
      <c r="G256">
        <f t="shared" si="10"/>
        <v>1938474.8007990951</v>
      </c>
      <c r="H256">
        <f t="shared" si="11"/>
        <v>436223.09333574487</v>
      </c>
    </row>
    <row r="257" spans="1:8" x14ac:dyDescent="0.2">
      <c r="A257">
        <v>292.984130859375</v>
      </c>
      <c r="B257">
        <v>29999.7783203125</v>
      </c>
      <c r="C257">
        <v>6.8872690563937401E-4</v>
      </c>
      <c r="D257" s="1">
        <v>7.0228295126014904E-7</v>
      </c>
      <c r="F257">
        <f t="shared" si="9"/>
        <v>6.8872690563937398E-7</v>
      </c>
      <c r="G257">
        <f t="shared" si="10"/>
        <v>2387306.5056694057</v>
      </c>
      <c r="H257">
        <f t="shared" si="11"/>
        <v>423019.74402339745</v>
      </c>
    </row>
    <row r="258" spans="1:8" x14ac:dyDescent="0.2">
      <c r="D258" s="1"/>
    </row>
    <row r="259" spans="1:8" x14ac:dyDescent="0.2">
      <c r="D259" s="1"/>
    </row>
    <row r="260" spans="1:8" x14ac:dyDescent="0.2">
      <c r="D260" s="1"/>
    </row>
    <row r="261" spans="1:8" x14ac:dyDescent="0.2">
      <c r="D261" s="1"/>
    </row>
    <row r="262" spans="1:8" x14ac:dyDescent="0.2">
      <c r="D262" s="1"/>
    </row>
    <row r="263" spans="1:8" x14ac:dyDescent="0.2">
      <c r="D263" s="1"/>
    </row>
    <row r="264" spans="1:8" x14ac:dyDescent="0.2">
      <c r="D264" s="1"/>
    </row>
    <row r="265" spans="1:8" x14ac:dyDescent="0.2">
      <c r="D265" s="1"/>
    </row>
    <row r="266" spans="1:8" x14ac:dyDescent="0.2">
      <c r="D266" s="1"/>
    </row>
    <row r="267" spans="1:8" x14ac:dyDescent="0.2">
      <c r="D267" s="1"/>
    </row>
    <row r="268" spans="1:8" x14ac:dyDescent="0.2">
      <c r="D268" s="1"/>
    </row>
    <row r="269" spans="1:8" x14ac:dyDescent="0.2">
      <c r="D269" s="1"/>
    </row>
    <row r="270" spans="1:8" x14ac:dyDescent="0.2">
      <c r="D270" s="1"/>
    </row>
    <row r="271" spans="1:8" x14ac:dyDescent="0.2">
      <c r="D271" s="1"/>
    </row>
    <row r="272" spans="1:8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  <row r="428" spans="4:4" x14ac:dyDescent="0.2">
      <c r="D428" s="1"/>
    </row>
    <row r="429" spans="4:4" x14ac:dyDescent="0.2">
      <c r="D429" s="1"/>
    </row>
    <row r="430" spans="4:4" x14ac:dyDescent="0.2">
      <c r="D430" s="1"/>
    </row>
    <row r="431" spans="4:4" x14ac:dyDescent="0.2">
      <c r="D431" s="1"/>
    </row>
    <row r="432" spans="4:4" x14ac:dyDescent="0.2">
      <c r="D432" s="1"/>
    </row>
    <row r="433" spans="4:4" x14ac:dyDescent="0.2">
      <c r="D433" s="1"/>
    </row>
    <row r="434" spans="4:4" x14ac:dyDescent="0.2">
      <c r="D434" s="1"/>
    </row>
    <row r="435" spans="4:4" x14ac:dyDescent="0.2">
      <c r="D435" s="1"/>
    </row>
    <row r="436" spans="4:4" x14ac:dyDescent="0.2">
      <c r="D436" s="1"/>
    </row>
    <row r="437" spans="4:4" x14ac:dyDescent="0.2">
      <c r="D437" s="1"/>
    </row>
    <row r="438" spans="4:4" x14ac:dyDescent="0.2">
      <c r="D438" s="1"/>
    </row>
    <row r="439" spans="4:4" x14ac:dyDescent="0.2">
      <c r="D439" s="1"/>
    </row>
    <row r="440" spans="4:4" x14ac:dyDescent="0.2">
      <c r="D440" s="1"/>
    </row>
    <row r="441" spans="4:4" x14ac:dyDescent="0.2">
      <c r="D441" s="1"/>
    </row>
    <row r="442" spans="4:4" x14ac:dyDescent="0.2">
      <c r="D442" s="1"/>
    </row>
    <row r="443" spans="4:4" x14ac:dyDescent="0.2">
      <c r="D443" s="1"/>
    </row>
    <row r="444" spans="4:4" x14ac:dyDescent="0.2">
      <c r="D444" s="1"/>
    </row>
    <row r="445" spans="4:4" x14ac:dyDescent="0.2">
      <c r="D445" s="1"/>
    </row>
    <row r="446" spans="4:4" x14ac:dyDescent="0.2">
      <c r="D446" s="1"/>
    </row>
    <row r="447" spans="4:4" x14ac:dyDescent="0.2">
      <c r="D447" s="1"/>
    </row>
    <row r="448" spans="4:4" x14ac:dyDescent="0.2">
      <c r="D448" s="1"/>
    </row>
    <row r="449" spans="4:4" x14ac:dyDescent="0.2">
      <c r="D449" s="1"/>
    </row>
    <row r="450" spans="4:4" x14ac:dyDescent="0.2">
      <c r="D450" s="1"/>
    </row>
    <row r="451" spans="4:4" x14ac:dyDescent="0.2">
      <c r="D451" s="1"/>
    </row>
    <row r="452" spans="4:4" x14ac:dyDescent="0.2">
      <c r="D452" s="1"/>
    </row>
    <row r="453" spans="4:4" x14ac:dyDescent="0.2">
      <c r="D453" s="1"/>
    </row>
    <row r="454" spans="4:4" x14ac:dyDescent="0.2">
      <c r="D454" s="1"/>
    </row>
    <row r="455" spans="4:4" x14ac:dyDescent="0.2">
      <c r="D455" s="1"/>
    </row>
    <row r="456" spans="4:4" x14ac:dyDescent="0.2">
      <c r="D456" s="1"/>
    </row>
    <row r="457" spans="4:4" x14ac:dyDescent="0.2">
      <c r="D457" s="1"/>
    </row>
    <row r="458" spans="4:4" x14ac:dyDescent="0.2">
      <c r="D458" s="1"/>
    </row>
    <row r="459" spans="4:4" x14ac:dyDescent="0.2">
      <c r="D459" s="1"/>
    </row>
    <row r="460" spans="4:4" x14ac:dyDescent="0.2">
      <c r="D460" s="1"/>
    </row>
    <row r="461" spans="4:4" x14ac:dyDescent="0.2">
      <c r="D461" s="1"/>
    </row>
    <row r="462" spans="4:4" x14ac:dyDescent="0.2">
      <c r="D462" s="1"/>
    </row>
    <row r="463" spans="4:4" x14ac:dyDescent="0.2">
      <c r="D463" s="1"/>
    </row>
    <row r="464" spans="4:4" x14ac:dyDescent="0.2">
      <c r="D464" s="1"/>
    </row>
    <row r="465" spans="4:4" x14ac:dyDescent="0.2">
      <c r="D465" s="1"/>
    </row>
    <row r="466" spans="4:4" x14ac:dyDescent="0.2">
      <c r="D466" s="1"/>
    </row>
    <row r="467" spans="4:4" x14ac:dyDescent="0.2">
      <c r="D467" s="1"/>
    </row>
    <row r="468" spans="4:4" x14ac:dyDescent="0.2">
      <c r="D468" s="1"/>
    </row>
    <row r="469" spans="4:4" x14ac:dyDescent="0.2">
      <c r="D469" s="1"/>
    </row>
    <row r="470" spans="4:4" x14ac:dyDescent="0.2">
      <c r="D470" s="1"/>
    </row>
    <row r="471" spans="4:4" x14ac:dyDescent="0.2">
      <c r="D471" s="1"/>
    </row>
    <row r="472" spans="4:4" x14ac:dyDescent="0.2">
      <c r="D472" s="1"/>
    </row>
    <row r="473" spans="4:4" x14ac:dyDescent="0.2">
      <c r="D473" s="1"/>
    </row>
    <row r="474" spans="4:4" x14ac:dyDescent="0.2">
      <c r="D474" s="1"/>
    </row>
    <row r="475" spans="4:4" x14ac:dyDescent="0.2">
      <c r="D475" s="1"/>
    </row>
    <row r="476" spans="4:4" x14ac:dyDescent="0.2">
      <c r="D476" s="1"/>
    </row>
    <row r="477" spans="4:4" x14ac:dyDescent="0.2">
      <c r="D477" s="1"/>
    </row>
    <row r="478" spans="4:4" x14ac:dyDescent="0.2">
      <c r="D478" s="1"/>
    </row>
    <row r="479" spans="4:4" x14ac:dyDescent="0.2">
      <c r="D479" s="1"/>
    </row>
    <row r="480" spans="4:4" x14ac:dyDescent="0.2">
      <c r="D480" s="1"/>
    </row>
    <row r="482" spans="4:4" x14ac:dyDescent="0.2">
      <c r="D482" s="1"/>
    </row>
    <row r="483" spans="4:4" x14ac:dyDescent="0.2">
      <c r="D483" s="1"/>
    </row>
    <row r="484" spans="4:4" x14ac:dyDescent="0.2">
      <c r="D484" s="1"/>
    </row>
    <row r="485" spans="4:4" x14ac:dyDescent="0.2">
      <c r="D485" s="1"/>
    </row>
    <row r="486" spans="4:4" x14ac:dyDescent="0.2">
      <c r="D486" s="1"/>
    </row>
    <row r="487" spans="4:4" x14ac:dyDescent="0.2">
      <c r="D487" s="1"/>
    </row>
    <row r="488" spans="4:4" x14ac:dyDescent="0.2">
      <c r="D488" s="1"/>
    </row>
    <row r="489" spans="4:4" x14ac:dyDescent="0.2">
      <c r="D489" s="1"/>
    </row>
    <row r="490" spans="4:4" x14ac:dyDescent="0.2">
      <c r="D490" s="1"/>
    </row>
    <row r="491" spans="4:4" x14ac:dyDescent="0.2">
      <c r="D491" s="1"/>
    </row>
    <row r="492" spans="4:4" x14ac:dyDescent="0.2">
      <c r="D492" s="1"/>
    </row>
    <row r="493" spans="4:4" x14ac:dyDescent="0.2">
      <c r="D493" s="1"/>
    </row>
    <row r="494" spans="4:4" x14ac:dyDescent="0.2">
      <c r="D494" s="1"/>
    </row>
    <row r="497" spans="4:4" x14ac:dyDescent="0.2">
      <c r="D497" s="1"/>
    </row>
    <row r="499" spans="4:4" x14ac:dyDescent="0.2">
      <c r="D499" s="1"/>
    </row>
    <row r="500" spans="4:4" x14ac:dyDescent="0.2">
      <c r="D500" s="1"/>
    </row>
    <row r="501" spans="4:4" x14ac:dyDescent="0.2">
      <c r="D501" s="1"/>
    </row>
    <row r="503" spans="4:4" x14ac:dyDescent="0.2">
      <c r="D503" s="1"/>
    </row>
    <row r="504" spans="4:4" x14ac:dyDescent="0.2">
      <c r="D504" s="1"/>
    </row>
    <row r="506" spans="4:4" x14ac:dyDescent="0.2">
      <c r="D506" s="1"/>
    </row>
    <row r="507" spans="4:4" x14ac:dyDescent="0.2">
      <c r="D507" s="1"/>
    </row>
    <row r="508" spans="4:4" x14ac:dyDescent="0.2">
      <c r="D508" s="1"/>
    </row>
    <row r="510" spans="4:4" x14ac:dyDescent="0.2">
      <c r="D510" s="1"/>
    </row>
    <row r="511" spans="4:4" x14ac:dyDescent="0.2">
      <c r="D511" s="1"/>
    </row>
    <row r="512" spans="4:4" x14ac:dyDescent="0.2">
      <c r="D512" s="1"/>
    </row>
    <row r="513" spans="4:4" x14ac:dyDescent="0.2">
      <c r="D513" s="1"/>
    </row>
    <row r="516" spans="4:4" x14ac:dyDescent="0.2">
      <c r="D516" s="1"/>
    </row>
    <row r="517" spans="4:4" x14ac:dyDescent="0.2">
      <c r="D517" s="1"/>
    </row>
    <row r="519" spans="4:4" x14ac:dyDescent="0.2">
      <c r="D519" s="1"/>
    </row>
    <row r="520" spans="4:4" x14ac:dyDescent="0.2">
      <c r="D520" s="1"/>
    </row>
    <row r="522" spans="4:4" x14ac:dyDescent="0.2">
      <c r="D522" s="1"/>
    </row>
    <row r="523" spans="4:4" x14ac:dyDescent="0.2">
      <c r="D523" s="1"/>
    </row>
    <row r="524" spans="4:4" x14ac:dyDescent="0.2">
      <c r="D524" s="1"/>
    </row>
    <row r="526" spans="4:4" x14ac:dyDescent="0.2">
      <c r="D526" s="1"/>
    </row>
    <row r="527" spans="4:4" x14ac:dyDescent="0.2">
      <c r="D527" s="1"/>
    </row>
    <row r="529" spans="4:4" x14ac:dyDescent="0.2">
      <c r="D529" s="1"/>
    </row>
    <row r="530" spans="4:4" x14ac:dyDescent="0.2">
      <c r="D530" s="1"/>
    </row>
    <row r="542" spans="4:4" x14ac:dyDescent="0.2">
      <c r="D542" s="1"/>
    </row>
    <row r="560" spans="4:4" x14ac:dyDescent="0.2">
      <c r="D560" s="1"/>
    </row>
    <row r="728" spans="4:4" x14ac:dyDescent="0.2">
      <c r="D728" s="1"/>
    </row>
    <row r="732" spans="4:4" x14ac:dyDescent="0.2">
      <c r="D732" s="1"/>
    </row>
    <row r="745" spans="4:4" x14ac:dyDescent="0.2">
      <c r="D745" s="1"/>
    </row>
    <row r="749" spans="4:4" x14ac:dyDescent="0.2">
      <c r="D749" s="1"/>
    </row>
    <row r="759" spans="4:4" x14ac:dyDescent="0.2">
      <c r="D759" s="1"/>
    </row>
    <row r="770" spans="4:4" x14ac:dyDescent="0.2">
      <c r="D770" s="1"/>
    </row>
    <row r="771" spans="4:4" x14ac:dyDescent="0.2">
      <c r="D771" s="1"/>
    </row>
    <row r="772" spans="4:4" x14ac:dyDescent="0.2">
      <c r="D772" s="1"/>
    </row>
    <row r="773" spans="4:4" x14ac:dyDescent="0.2">
      <c r="D773" s="1"/>
    </row>
    <row r="775" spans="4:4" x14ac:dyDescent="0.2">
      <c r="D775" s="1"/>
    </row>
    <row r="776" spans="4:4" x14ac:dyDescent="0.2">
      <c r="D776" s="1"/>
    </row>
    <row r="777" spans="4:4" x14ac:dyDescent="0.2">
      <c r="D777" s="1"/>
    </row>
    <row r="779" spans="4:4" x14ac:dyDescent="0.2">
      <c r="D779" s="1"/>
    </row>
    <row r="780" spans="4:4" x14ac:dyDescent="0.2">
      <c r="D780" s="1"/>
    </row>
    <row r="781" spans="4:4" x14ac:dyDescent="0.2">
      <c r="D781" s="1"/>
    </row>
    <row r="782" spans="4:4" x14ac:dyDescent="0.2">
      <c r="D782" s="1"/>
    </row>
    <row r="783" spans="4:4" x14ac:dyDescent="0.2">
      <c r="D783" s="1"/>
    </row>
    <row r="784" spans="4:4" x14ac:dyDescent="0.2">
      <c r="D784" s="1"/>
    </row>
    <row r="785" spans="4:4" x14ac:dyDescent="0.2">
      <c r="D785" s="1"/>
    </row>
    <row r="786" spans="4:4" x14ac:dyDescent="0.2">
      <c r="D786" s="1"/>
    </row>
    <row r="787" spans="4:4" x14ac:dyDescent="0.2">
      <c r="D787" s="1"/>
    </row>
    <row r="789" spans="4:4" x14ac:dyDescent="0.2">
      <c r="D789" s="1"/>
    </row>
    <row r="790" spans="4:4" x14ac:dyDescent="0.2">
      <c r="D790" s="1"/>
    </row>
    <row r="791" spans="4:4" x14ac:dyDescent="0.2">
      <c r="D791" s="1"/>
    </row>
    <row r="793" spans="4:4" x14ac:dyDescent="0.2">
      <c r="D793" s="1"/>
    </row>
    <row r="796" spans="4:4" x14ac:dyDescent="0.2">
      <c r="D796" s="1"/>
    </row>
    <row r="797" spans="4:4" x14ac:dyDescent="0.2">
      <c r="D797" s="1"/>
    </row>
    <row r="799" spans="4:4" x14ac:dyDescent="0.2">
      <c r="D799" s="1"/>
    </row>
    <row r="800" spans="4:4" x14ac:dyDescent="0.2">
      <c r="D800" s="1"/>
    </row>
    <row r="801" spans="4:4" x14ac:dyDescent="0.2">
      <c r="D801" s="1"/>
    </row>
    <row r="803" spans="4:4" x14ac:dyDescent="0.2">
      <c r="D803" s="1"/>
    </row>
    <row r="804" spans="4:4" x14ac:dyDescent="0.2">
      <c r="D804" s="1"/>
    </row>
    <row r="807" spans="4:4" x14ac:dyDescent="0.2">
      <c r="D807" s="1"/>
    </row>
    <row r="810" spans="4:4" x14ac:dyDescent="0.2">
      <c r="D810" s="1"/>
    </row>
    <row r="811" spans="4:4" x14ac:dyDescent="0.2">
      <c r="D811" s="1"/>
    </row>
    <row r="812" spans="4:4" x14ac:dyDescent="0.2">
      <c r="D812" s="1"/>
    </row>
    <row r="813" spans="4:4" x14ac:dyDescent="0.2">
      <c r="D813" s="1"/>
    </row>
    <row r="815" spans="4:4" x14ac:dyDescent="0.2">
      <c r="D815" s="1"/>
    </row>
    <row r="816" spans="4:4" x14ac:dyDescent="0.2">
      <c r="D816" s="1"/>
    </row>
    <row r="817" spans="4:4" x14ac:dyDescent="0.2">
      <c r="D817" s="1"/>
    </row>
    <row r="818" spans="4:4" x14ac:dyDescent="0.2">
      <c r="D818" s="1"/>
    </row>
    <row r="819" spans="4:4" x14ac:dyDescent="0.2">
      <c r="D819" s="1"/>
    </row>
    <row r="820" spans="4:4" x14ac:dyDescent="0.2">
      <c r="D820" s="1"/>
    </row>
    <row r="823" spans="4:4" x14ac:dyDescent="0.2">
      <c r="D823" s="1"/>
    </row>
    <row r="824" spans="4:4" x14ac:dyDescent="0.2">
      <c r="D824" s="1"/>
    </row>
    <row r="825" spans="4:4" x14ac:dyDescent="0.2">
      <c r="D825" s="1"/>
    </row>
    <row r="826" spans="4:4" x14ac:dyDescent="0.2">
      <c r="D826" s="1"/>
    </row>
    <row r="827" spans="4:4" x14ac:dyDescent="0.2">
      <c r="D827" s="1"/>
    </row>
    <row r="828" spans="4:4" x14ac:dyDescent="0.2">
      <c r="D828" s="1"/>
    </row>
    <row r="829" spans="4:4" x14ac:dyDescent="0.2">
      <c r="D829" s="1"/>
    </row>
    <row r="830" spans="4:4" x14ac:dyDescent="0.2">
      <c r="D830" s="1"/>
    </row>
    <row r="831" spans="4:4" x14ac:dyDescent="0.2">
      <c r="D831" s="1"/>
    </row>
    <row r="832" spans="4:4" x14ac:dyDescent="0.2">
      <c r="D832" s="1"/>
    </row>
    <row r="833" spans="4:4" x14ac:dyDescent="0.2">
      <c r="D833" s="1"/>
    </row>
    <row r="834" spans="4:4" x14ac:dyDescent="0.2">
      <c r="D834" s="1"/>
    </row>
    <row r="836" spans="4:4" x14ac:dyDescent="0.2">
      <c r="D836" s="1"/>
    </row>
    <row r="837" spans="4:4" x14ac:dyDescent="0.2">
      <c r="D837" s="1"/>
    </row>
    <row r="838" spans="4:4" x14ac:dyDescent="0.2">
      <c r="D838" s="1"/>
    </row>
    <row r="839" spans="4:4" x14ac:dyDescent="0.2">
      <c r="D839" s="1"/>
    </row>
    <row r="840" spans="4:4" x14ac:dyDescent="0.2">
      <c r="D840" s="1"/>
    </row>
    <row r="841" spans="4:4" x14ac:dyDescent="0.2">
      <c r="D841" s="1"/>
    </row>
    <row r="842" spans="4:4" x14ac:dyDescent="0.2">
      <c r="D842" s="1"/>
    </row>
    <row r="843" spans="4:4" x14ac:dyDescent="0.2">
      <c r="D843" s="1"/>
    </row>
    <row r="844" spans="4:4" x14ac:dyDescent="0.2">
      <c r="D844" s="1"/>
    </row>
    <row r="845" spans="4:4" x14ac:dyDescent="0.2">
      <c r="D845" s="1"/>
    </row>
    <row r="846" spans="4:4" x14ac:dyDescent="0.2">
      <c r="D846" s="1"/>
    </row>
    <row r="847" spans="4:4" x14ac:dyDescent="0.2">
      <c r="D847" s="1"/>
    </row>
    <row r="848" spans="4:4" x14ac:dyDescent="0.2">
      <c r="D848" s="1"/>
    </row>
    <row r="849" spans="4:4" x14ac:dyDescent="0.2">
      <c r="D849" s="1"/>
    </row>
    <row r="850" spans="4:4" x14ac:dyDescent="0.2">
      <c r="D850" s="1"/>
    </row>
    <row r="851" spans="4:4" x14ac:dyDescent="0.2">
      <c r="D851" s="1"/>
    </row>
    <row r="852" spans="4:4" x14ac:dyDescent="0.2">
      <c r="D852" s="1"/>
    </row>
    <row r="853" spans="4:4" x14ac:dyDescent="0.2">
      <c r="D853" s="1"/>
    </row>
    <row r="854" spans="4:4" x14ac:dyDescent="0.2">
      <c r="D854" s="1"/>
    </row>
    <row r="855" spans="4:4" x14ac:dyDescent="0.2">
      <c r="D855" s="1"/>
    </row>
    <row r="856" spans="4:4" x14ac:dyDescent="0.2">
      <c r="D856" s="1"/>
    </row>
    <row r="857" spans="4:4" x14ac:dyDescent="0.2">
      <c r="D857" s="1"/>
    </row>
    <row r="858" spans="4:4" x14ac:dyDescent="0.2">
      <c r="D858" s="1"/>
    </row>
    <row r="859" spans="4:4" x14ac:dyDescent="0.2">
      <c r="D859" s="1"/>
    </row>
    <row r="860" spans="4:4" x14ac:dyDescent="0.2">
      <c r="D860" s="1"/>
    </row>
    <row r="861" spans="4:4" x14ac:dyDescent="0.2">
      <c r="D861" s="1"/>
    </row>
    <row r="862" spans="4:4" x14ac:dyDescent="0.2">
      <c r="D862" s="1"/>
    </row>
    <row r="863" spans="4:4" x14ac:dyDescent="0.2">
      <c r="D863" s="1"/>
    </row>
    <row r="864" spans="4:4" x14ac:dyDescent="0.2">
      <c r="D864" s="1"/>
    </row>
    <row r="865" spans="4:4" x14ac:dyDescent="0.2">
      <c r="D865" s="1"/>
    </row>
    <row r="866" spans="4:4" x14ac:dyDescent="0.2">
      <c r="D866" s="1"/>
    </row>
    <row r="867" spans="4:4" x14ac:dyDescent="0.2">
      <c r="D867" s="1"/>
    </row>
    <row r="868" spans="4:4" x14ac:dyDescent="0.2">
      <c r="D868" s="1"/>
    </row>
    <row r="869" spans="4:4" x14ac:dyDescent="0.2">
      <c r="D869" s="1"/>
    </row>
    <row r="870" spans="4:4" x14ac:dyDescent="0.2">
      <c r="D870" s="1"/>
    </row>
    <row r="871" spans="4:4" x14ac:dyDescent="0.2">
      <c r="D871" s="1"/>
    </row>
    <row r="872" spans="4:4" x14ac:dyDescent="0.2">
      <c r="D872" s="1"/>
    </row>
    <row r="873" spans="4:4" x14ac:dyDescent="0.2">
      <c r="D873" s="1"/>
    </row>
    <row r="874" spans="4:4" x14ac:dyDescent="0.2">
      <c r="D874" s="1"/>
    </row>
    <row r="875" spans="4:4" x14ac:dyDescent="0.2">
      <c r="D875" s="1"/>
    </row>
    <row r="876" spans="4:4" x14ac:dyDescent="0.2">
      <c r="D876" s="1"/>
    </row>
    <row r="877" spans="4:4" x14ac:dyDescent="0.2">
      <c r="D877" s="1"/>
    </row>
    <row r="878" spans="4:4" x14ac:dyDescent="0.2">
      <c r="D878" s="1"/>
    </row>
    <row r="879" spans="4:4" x14ac:dyDescent="0.2">
      <c r="D879" s="1"/>
    </row>
    <row r="880" spans="4:4" x14ac:dyDescent="0.2">
      <c r="D880" s="1"/>
    </row>
    <row r="881" spans="4:4" x14ac:dyDescent="0.2">
      <c r="D881" s="1"/>
    </row>
    <row r="882" spans="4:4" x14ac:dyDescent="0.2">
      <c r="D882" s="1"/>
    </row>
    <row r="883" spans="4:4" x14ac:dyDescent="0.2">
      <c r="D883" s="1"/>
    </row>
    <row r="884" spans="4:4" x14ac:dyDescent="0.2">
      <c r="D884" s="1"/>
    </row>
    <row r="885" spans="4:4" x14ac:dyDescent="0.2">
      <c r="D885" s="1"/>
    </row>
    <row r="886" spans="4:4" x14ac:dyDescent="0.2">
      <c r="D886" s="1"/>
    </row>
    <row r="887" spans="4:4" x14ac:dyDescent="0.2">
      <c r="D887" s="1"/>
    </row>
    <row r="888" spans="4:4" x14ac:dyDescent="0.2">
      <c r="D888" s="1"/>
    </row>
    <row r="889" spans="4:4" x14ac:dyDescent="0.2">
      <c r="D889" s="1"/>
    </row>
    <row r="890" spans="4:4" x14ac:dyDescent="0.2">
      <c r="D890" s="1"/>
    </row>
    <row r="891" spans="4:4" x14ac:dyDescent="0.2">
      <c r="D891" s="1"/>
    </row>
    <row r="892" spans="4:4" x14ac:dyDescent="0.2">
      <c r="D892" s="1"/>
    </row>
    <row r="893" spans="4:4" x14ac:dyDescent="0.2">
      <c r="D893" s="1"/>
    </row>
    <row r="894" spans="4:4" x14ac:dyDescent="0.2">
      <c r="D894" s="1"/>
    </row>
    <row r="895" spans="4:4" x14ac:dyDescent="0.2">
      <c r="D895" s="1"/>
    </row>
    <row r="896" spans="4:4" x14ac:dyDescent="0.2">
      <c r="D896" s="1"/>
    </row>
    <row r="897" spans="4:4" x14ac:dyDescent="0.2">
      <c r="D897" s="1"/>
    </row>
    <row r="898" spans="4:4" x14ac:dyDescent="0.2">
      <c r="D898" s="1"/>
    </row>
    <row r="899" spans="4:4" x14ac:dyDescent="0.2">
      <c r="D899" s="1"/>
    </row>
    <row r="900" spans="4:4" x14ac:dyDescent="0.2">
      <c r="D900" s="1"/>
    </row>
    <row r="901" spans="4:4" x14ac:dyDescent="0.2">
      <c r="D901" s="1"/>
    </row>
    <row r="902" spans="4:4" x14ac:dyDescent="0.2">
      <c r="D902" s="1"/>
    </row>
    <row r="903" spans="4:4" x14ac:dyDescent="0.2">
      <c r="D903" s="1"/>
    </row>
    <row r="904" spans="4:4" x14ac:dyDescent="0.2">
      <c r="D904" s="1"/>
    </row>
    <row r="905" spans="4:4" x14ac:dyDescent="0.2">
      <c r="D905" s="1"/>
    </row>
    <row r="906" spans="4:4" x14ac:dyDescent="0.2">
      <c r="D906" s="1"/>
    </row>
    <row r="907" spans="4:4" x14ac:dyDescent="0.2">
      <c r="D907" s="1"/>
    </row>
    <row r="908" spans="4:4" x14ac:dyDescent="0.2">
      <c r="D908" s="1"/>
    </row>
    <row r="909" spans="4:4" x14ac:dyDescent="0.2">
      <c r="D909" s="1"/>
    </row>
    <row r="910" spans="4:4" x14ac:dyDescent="0.2">
      <c r="D910" s="1"/>
    </row>
    <row r="911" spans="4:4" x14ac:dyDescent="0.2">
      <c r="D911" s="1"/>
    </row>
    <row r="912" spans="4:4" x14ac:dyDescent="0.2">
      <c r="D912" s="1"/>
    </row>
    <row r="913" spans="4:4" x14ac:dyDescent="0.2">
      <c r="D913" s="1"/>
    </row>
    <row r="914" spans="4:4" x14ac:dyDescent="0.2">
      <c r="D914" s="1"/>
    </row>
    <row r="915" spans="4:4" x14ac:dyDescent="0.2">
      <c r="D915" s="1"/>
    </row>
    <row r="916" spans="4:4" x14ac:dyDescent="0.2">
      <c r="D916" s="1"/>
    </row>
    <row r="917" spans="4:4" x14ac:dyDescent="0.2">
      <c r="D917" s="1"/>
    </row>
    <row r="918" spans="4:4" x14ac:dyDescent="0.2">
      <c r="D918" s="1"/>
    </row>
    <row r="919" spans="4:4" x14ac:dyDescent="0.2">
      <c r="D919" s="1"/>
    </row>
    <row r="920" spans="4:4" x14ac:dyDescent="0.2">
      <c r="D920" s="1"/>
    </row>
    <row r="921" spans="4:4" x14ac:dyDescent="0.2">
      <c r="D921" s="1"/>
    </row>
    <row r="922" spans="4:4" x14ac:dyDescent="0.2">
      <c r="D922" s="1"/>
    </row>
    <row r="923" spans="4:4" x14ac:dyDescent="0.2">
      <c r="D923" s="1"/>
    </row>
    <row r="924" spans="4:4" x14ac:dyDescent="0.2">
      <c r="D924" s="1"/>
    </row>
    <row r="925" spans="4:4" x14ac:dyDescent="0.2">
      <c r="D925" s="1"/>
    </row>
    <row r="926" spans="4:4" x14ac:dyDescent="0.2">
      <c r="D926" s="1"/>
    </row>
    <row r="927" spans="4:4" x14ac:dyDescent="0.2">
      <c r="D927" s="1"/>
    </row>
    <row r="928" spans="4:4" x14ac:dyDescent="0.2">
      <c r="D928" s="1"/>
    </row>
    <row r="929" spans="4:4" x14ac:dyDescent="0.2">
      <c r="D929" s="1"/>
    </row>
    <row r="930" spans="4:4" x14ac:dyDescent="0.2">
      <c r="D930" s="1"/>
    </row>
    <row r="931" spans="4:4" x14ac:dyDescent="0.2">
      <c r="D931" s="1"/>
    </row>
    <row r="932" spans="4:4" x14ac:dyDescent="0.2">
      <c r="D932" s="1"/>
    </row>
    <row r="933" spans="4:4" x14ac:dyDescent="0.2">
      <c r="D933" s="1"/>
    </row>
    <row r="934" spans="4:4" x14ac:dyDescent="0.2">
      <c r="D934" s="1"/>
    </row>
    <row r="935" spans="4:4" x14ac:dyDescent="0.2">
      <c r="D935" s="1"/>
    </row>
    <row r="936" spans="4:4" x14ac:dyDescent="0.2">
      <c r="D936" s="1"/>
    </row>
    <row r="937" spans="4:4" x14ac:dyDescent="0.2">
      <c r="D937" s="1"/>
    </row>
    <row r="938" spans="4:4" x14ac:dyDescent="0.2">
      <c r="D938" s="1"/>
    </row>
    <row r="939" spans="4:4" x14ac:dyDescent="0.2">
      <c r="D939" s="1"/>
    </row>
    <row r="940" spans="4:4" x14ac:dyDescent="0.2">
      <c r="D940" s="1"/>
    </row>
    <row r="941" spans="4:4" x14ac:dyDescent="0.2">
      <c r="D941" s="1"/>
    </row>
    <row r="942" spans="4:4" x14ac:dyDescent="0.2">
      <c r="D942" s="1"/>
    </row>
    <row r="943" spans="4:4" x14ac:dyDescent="0.2">
      <c r="D943" s="1"/>
    </row>
    <row r="944" spans="4:4" x14ac:dyDescent="0.2">
      <c r="D944" s="1"/>
    </row>
    <row r="945" spans="4:4" x14ac:dyDescent="0.2">
      <c r="D945" s="1"/>
    </row>
    <row r="946" spans="4:4" x14ac:dyDescent="0.2">
      <c r="D946" s="1"/>
    </row>
    <row r="947" spans="4:4" x14ac:dyDescent="0.2">
      <c r="D947" s="1"/>
    </row>
    <row r="948" spans="4:4" x14ac:dyDescent="0.2">
      <c r="D948" s="1"/>
    </row>
    <row r="949" spans="4:4" x14ac:dyDescent="0.2">
      <c r="D949" s="1"/>
    </row>
    <row r="950" spans="4:4" x14ac:dyDescent="0.2">
      <c r="D950" s="1"/>
    </row>
    <row r="951" spans="4:4" x14ac:dyDescent="0.2">
      <c r="D951" s="1"/>
    </row>
    <row r="952" spans="4:4" x14ac:dyDescent="0.2">
      <c r="D952" s="1"/>
    </row>
    <row r="953" spans="4:4" x14ac:dyDescent="0.2">
      <c r="D953" s="1"/>
    </row>
    <row r="954" spans="4:4" x14ac:dyDescent="0.2">
      <c r="D954" s="1"/>
    </row>
    <row r="955" spans="4:4" x14ac:dyDescent="0.2">
      <c r="D955" s="1"/>
    </row>
    <row r="956" spans="4:4" x14ac:dyDescent="0.2">
      <c r="D956" s="1"/>
    </row>
    <row r="957" spans="4:4" x14ac:dyDescent="0.2">
      <c r="D957" s="1"/>
    </row>
    <row r="958" spans="4:4" x14ac:dyDescent="0.2">
      <c r="D958" s="1"/>
    </row>
    <row r="959" spans="4:4" x14ac:dyDescent="0.2">
      <c r="D959" s="1"/>
    </row>
    <row r="960" spans="4:4" x14ac:dyDescent="0.2">
      <c r="D960" s="1"/>
    </row>
    <row r="961" spans="4:4" x14ac:dyDescent="0.2">
      <c r="D961" s="1"/>
    </row>
    <row r="962" spans="4:4" x14ac:dyDescent="0.2">
      <c r="D962" s="1"/>
    </row>
    <row r="963" spans="4:4" x14ac:dyDescent="0.2">
      <c r="D963" s="1"/>
    </row>
    <row r="964" spans="4:4" x14ac:dyDescent="0.2">
      <c r="D964" s="1"/>
    </row>
    <row r="965" spans="4:4" x14ac:dyDescent="0.2">
      <c r="D965" s="1"/>
    </row>
    <row r="966" spans="4:4" x14ac:dyDescent="0.2">
      <c r="D966" s="1"/>
    </row>
    <row r="967" spans="4:4" x14ac:dyDescent="0.2">
      <c r="D967" s="1"/>
    </row>
    <row r="968" spans="4:4" x14ac:dyDescent="0.2">
      <c r="D968" s="1"/>
    </row>
    <row r="969" spans="4:4" x14ac:dyDescent="0.2">
      <c r="D969" s="1"/>
    </row>
    <row r="970" spans="4:4" x14ac:dyDescent="0.2">
      <c r="D970" s="1"/>
    </row>
    <row r="971" spans="4:4" x14ac:dyDescent="0.2">
      <c r="D971" s="1"/>
    </row>
    <row r="973" spans="4:4" x14ac:dyDescent="0.2">
      <c r="D973" s="1"/>
    </row>
    <row r="975" spans="4:4" x14ac:dyDescent="0.2">
      <c r="D975" s="1"/>
    </row>
    <row r="976" spans="4:4" x14ac:dyDescent="0.2">
      <c r="D976" s="1"/>
    </row>
    <row r="977" spans="4:4" x14ac:dyDescent="0.2">
      <c r="D977" s="1"/>
    </row>
    <row r="978" spans="4:4" x14ac:dyDescent="0.2">
      <c r="D978" s="1"/>
    </row>
    <row r="979" spans="4:4" x14ac:dyDescent="0.2">
      <c r="D979" s="1"/>
    </row>
    <row r="980" spans="4:4" x14ac:dyDescent="0.2">
      <c r="D980" s="1"/>
    </row>
    <row r="981" spans="4:4" x14ac:dyDescent="0.2">
      <c r="D981" s="1"/>
    </row>
    <row r="982" spans="4:4" x14ac:dyDescent="0.2">
      <c r="D982" s="1"/>
    </row>
    <row r="983" spans="4:4" x14ac:dyDescent="0.2">
      <c r="D983" s="1"/>
    </row>
    <row r="984" spans="4:4" x14ac:dyDescent="0.2">
      <c r="D984" s="1"/>
    </row>
    <row r="985" spans="4:4" x14ac:dyDescent="0.2">
      <c r="D985" s="1"/>
    </row>
    <row r="986" spans="4:4" x14ac:dyDescent="0.2">
      <c r="D986" s="1"/>
    </row>
    <row r="987" spans="4:4" x14ac:dyDescent="0.2">
      <c r="D987" s="1"/>
    </row>
    <row r="988" spans="4:4" x14ac:dyDescent="0.2">
      <c r="D988" s="1"/>
    </row>
    <row r="989" spans="4:4" x14ac:dyDescent="0.2">
      <c r="D989" s="1"/>
    </row>
    <row r="990" spans="4:4" x14ac:dyDescent="0.2">
      <c r="D990" s="1"/>
    </row>
    <row r="991" spans="4:4" x14ac:dyDescent="0.2">
      <c r="D991" s="1"/>
    </row>
    <row r="992" spans="4:4" x14ac:dyDescent="0.2">
      <c r="D992" s="1"/>
    </row>
    <row r="993" spans="4:4" x14ac:dyDescent="0.2">
      <c r="D993" s="1"/>
    </row>
    <row r="994" spans="4:4" x14ac:dyDescent="0.2">
      <c r="D994" s="1"/>
    </row>
    <row r="995" spans="4:4" x14ac:dyDescent="0.2">
      <c r="D995" s="1"/>
    </row>
    <row r="996" spans="4:4" x14ac:dyDescent="0.2">
      <c r="D996" s="1"/>
    </row>
    <row r="997" spans="4:4" x14ac:dyDescent="0.2">
      <c r="D997" s="1"/>
    </row>
    <row r="998" spans="4:4" x14ac:dyDescent="0.2">
      <c r="D998" s="1"/>
    </row>
    <row r="999" spans="4:4" x14ac:dyDescent="0.2">
      <c r="D999" s="1"/>
    </row>
    <row r="1000" spans="4:4" x14ac:dyDescent="0.2">
      <c r="D1000" s="1"/>
    </row>
    <row r="1001" spans="4:4" x14ac:dyDescent="0.2">
      <c r="D1001" s="1"/>
    </row>
    <row r="1002" spans="4:4" x14ac:dyDescent="0.2">
      <c r="D1002" s="1"/>
    </row>
    <row r="1003" spans="4:4" x14ac:dyDescent="0.2">
      <c r="D1003" s="1"/>
    </row>
    <row r="1004" spans="4:4" x14ac:dyDescent="0.2">
      <c r="D1004" s="1"/>
    </row>
    <row r="1005" spans="4:4" x14ac:dyDescent="0.2">
      <c r="D1005" s="1"/>
    </row>
    <row r="1006" spans="4:4" x14ac:dyDescent="0.2">
      <c r="D1006" s="1"/>
    </row>
    <row r="1007" spans="4:4" x14ac:dyDescent="0.2">
      <c r="D1007" s="1"/>
    </row>
    <row r="1008" spans="4:4" x14ac:dyDescent="0.2">
      <c r="D1008" s="1"/>
    </row>
    <row r="1009" spans="4:4" x14ac:dyDescent="0.2">
      <c r="D1009" s="1"/>
    </row>
    <row r="1010" spans="4:4" x14ac:dyDescent="0.2">
      <c r="D1010" s="1"/>
    </row>
    <row r="1011" spans="4:4" x14ac:dyDescent="0.2">
      <c r="D1011" s="1"/>
    </row>
    <row r="1012" spans="4:4" x14ac:dyDescent="0.2">
      <c r="D1012" s="1"/>
    </row>
    <row r="1013" spans="4:4" x14ac:dyDescent="0.2">
      <c r="D1013" s="1"/>
    </row>
    <row r="1014" spans="4:4" x14ac:dyDescent="0.2">
      <c r="D1014" s="1"/>
    </row>
    <row r="1015" spans="4:4" x14ac:dyDescent="0.2">
      <c r="D1015" s="1"/>
    </row>
    <row r="1016" spans="4:4" x14ac:dyDescent="0.2">
      <c r="D1016" s="1"/>
    </row>
    <row r="1017" spans="4:4" x14ac:dyDescent="0.2">
      <c r="D1017" s="1"/>
    </row>
    <row r="1018" spans="4:4" x14ac:dyDescent="0.2">
      <c r="D1018" s="1"/>
    </row>
    <row r="1019" spans="4:4" x14ac:dyDescent="0.2">
      <c r="D1019" s="1"/>
    </row>
    <row r="1020" spans="4:4" x14ac:dyDescent="0.2">
      <c r="D1020" s="1"/>
    </row>
    <row r="1021" spans="4:4" x14ac:dyDescent="0.2">
      <c r="D1021" s="1"/>
    </row>
    <row r="1022" spans="4:4" x14ac:dyDescent="0.2">
      <c r="D1022" s="1"/>
    </row>
    <row r="1023" spans="4:4" x14ac:dyDescent="0.2">
      <c r="D1023" s="1"/>
    </row>
    <row r="1024" spans="4:4" x14ac:dyDescent="0.2">
      <c r="D1024" s="1"/>
    </row>
    <row r="1025" spans="4:4" x14ac:dyDescent="0.2">
      <c r="D1025" s="1"/>
    </row>
    <row r="1026" spans="4:4" x14ac:dyDescent="0.2">
      <c r="D1026" s="1"/>
    </row>
    <row r="1027" spans="4:4" x14ac:dyDescent="0.2">
      <c r="D1027" s="1"/>
    </row>
    <row r="1028" spans="4:4" x14ac:dyDescent="0.2">
      <c r="D1028" s="1"/>
    </row>
    <row r="1029" spans="4:4" x14ac:dyDescent="0.2">
      <c r="D1029" s="1"/>
    </row>
    <row r="1030" spans="4:4" x14ac:dyDescent="0.2">
      <c r="D1030" s="1"/>
    </row>
    <row r="1031" spans="4:4" x14ac:dyDescent="0.2">
      <c r="D1031" s="1"/>
    </row>
    <row r="1032" spans="4:4" x14ac:dyDescent="0.2">
      <c r="D1032" s="1"/>
    </row>
    <row r="1033" spans="4:4" x14ac:dyDescent="0.2">
      <c r="D1033" s="1"/>
    </row>
    <row r="1034" spans="4:4" x14ac:dyDescent="0.2">
      <c r="D1034" s="1"/>
    </row>
    <row r="1035" spans="4:4" x14ac:dyDescent="0.2">
      <c r="D1035" s="1"/>
    </row>
    <row r="1036" spans="4:4" x14ac:dyDescent="0.2">
      <c r="D1036" s="1"/>
    </row>
    <row r="1037" spans="4:4" x14ac:dyDescent="0.2">
      <c r="D1037" s="1"/>
    </row>
    <row r="1038" spans="4:4" x14ac:dyDescent="0.2">
      <c r="D1038" s="1"/>
    </row>
    <row r="1039" spans="4:4" x14ac:dyDescent="0.2">
      <c r="D1039" s="1"/>
    </row>
    <row r="1040" spans="4:4" x14ac:dyDescent="0.2">
      <c r="D1040" s="1"/>
    </row>
    <row r="1041" spans="4:4" x14ac:dyDescent="0.2">
      <c r="D1041" s="1"/>
    </row>
    <row r="1042" spans="4:4" x14ac:dyDescent="0.2">
      <c r="D1042" s="1"/>
    </row>
    <row r="1043" spans="4:4" x14ac:dyDescent="0.2">
      <c r="D1043" s="1"/>
    </row>
    <row r="1044" spans="4:4" x14ac:dyDescent="0.2">
      <c r="D1044" s="1"/>
    </row>
    <row r="1045" spans="4:4" x14ac:dyDescent="0.2">
      <c r="D1045" s="1"/>
    </row>
    <row r="1046" spans="4:4" x14ac:dyDescent="0.2">
      <c r="D1046" s="1"/>
    </row>
    <row r="1047" spans="4:4" x14ac:dyDescent="0.2">
      <c r="D1047" s="1"/>
    </row>
    <row r="1048" spans="4:4" x14ac:dyDescent="0.2">
      <c r="D1048" s="1"/>
    </row>
    <row r="1049" spans="4:4" x14ac:dyDescent="0.2">
      <c r="D1049" s="1"/>
    </row>
    <row r="1050" spans="4:4" x14ac:dyDescent="0.2">
      <c r="D1050" s="1"/>
    </row>
    <row r="1051" spans="4:4" x14ac:dyDescent="0.2">
      <c r="D1051" s="1"/>
    </row>
    <row r="1052" spans="4:4" x14ac:dyDescent="0.2">
      <c r="D1052" s="1"/>
    </row>
    <row r="1053" spans="4:4" x14ac:dyDescent="0.2">
      <c r="D1053" s="1"/>
    </row>
    <row r="1054" spans="4:4" x14ac:dyDescent="0.2">
      <c r="D1054" s="1"/>
    </row>
    <row r="1055" spans="4:4" x14ac:dyDescent="0.2">
      <c r="D1055" s="1"/>
    </row>
    <row r="1056" spans="4:4" x14ac:dyDescent="0.2">
      <c r="D1056" s="1"/>
    </row>
    <row r="1057" spans="4:4" x14ac:dyDescent="0.2">
      <c r="D1057" s="1"/>
    </row>
    <row r="1058" spans="4:4" x14ac:dyDescent="0.2">
      <c r="D1058" s="1"/>
    </row>
    <row r="1059" spans="4:4" x14ac:dyDescent="0.2">
      <c r="D1059" s="1"/>
    </row>
    <row r="1060" spans="4:4" x14ac:dyDescent="0.2">
      <c r="D1060" s="1"/>
    </row>
    <row r="1061" spans="4:4" x14ac:dyDescent="0.2">
      <c r="D1061" s="1"/>
    </row>
    <row r="1062" spans="4:4" x14ac:dyDescent="0.2">
      <c r="D1062" s="1"/>
    </row>
    <row r="1063" spans="4:4" x14ac:dyDescent="0.2">
      <c r="D1063" s="1"/>
    </row>
    <row r="1064" spans="4:4" x14ac:dyDescent="0.2">
      <c r="D1064" s="1"/>
    </row>
    <row r="1065" spans="4:4" x14ac:dyDescent="0.2">
      <c r="D1065" s="1"/>
    </row>
    <row r="1066" spans="4:4" x14ac:dyDescent="0.2">
      <c r="D1066" s="1"/>
    </row>
    <row r="1067" spans="4:4" x14ac:dyDescent="0.2">
      <c r="D1067" s="1"/>
    </row>
    <row r="1068" spans="4:4" x14ac:dyDescent="0.2">
      <c r="D1068" s="1"/>
    </row>
    <row r="1069" spans="4:4" x14ac:dyDescent="0.2">
      <c r="D1069" s="1"/>
    </row>
    <row r="1070" spans="4:4" x14ac:dyDescent="0.2">
      <c r="D1070" s="1"/>
    </row>
    <row r="1071" spans="4:4" x14ac:dyDescent="0.2">
      <c r="D1071" s="1"/>
    </row>
    <row r="1072" spans="4:4" x14ac:dyDescent="0.2">
      <c r="D1072" s="1"/>
    </row>
    <row r="1073" spans="4:4" x14ac:dyDescent="0.2">
      <c r="D1073" s="1"/>
    </row>
    <row r="1074" spans="4:4" x14ac:dyDescent="0.2">
      <c r="D1074" s="1"/>
    </row>
    <row r="1075" spans="4:4" x14ac:dyDescent="0.2">
      <c r="D1075" s="1"/>
    </row>
    <row r="1076" spans="4:4" x14ac:dyDescent="0.2">
      <c r="D1076" s="1"/>
    </row>
    <row r="1077" spans="4:4" x14ac:dyDescent="0.2">
      <c r="D1077" s="1"/>
    </row>
    <row r="1078" spans="4:4" x14ac:dyDescent="0.2">
      <c r="D1078" s="1"/>
    </row>
    <row r="1079" spans="4:4" x14ac:dyDescent="0.2">
      <c r="D1079" s="1"/>
    </row>
    <row r="1080" spans="4:4" x14ac:dyDescent="0.2">
      <c r="D1080" s="1"/>
    </row>
    <row r="1081" spans="4:4" x14ac:dyDescent="0.2">
      <c r="D1081" s="1"/>
    </row>
    <row r="1082" spans="4:4" x14ac:dyDescent="0.2">
      <c r="D1082" s="1"/>
    </row>
    <row r="1083" spans="4:4" x14ac:dyDescent="0.2">
      <c r="D1083" s="1"/>
    </row>
    <row r="1084" spans="4:4" x14ac:dyDescent="0.2">
      <c r="D1084" s="1"/>
    </row>
    <row r="1085" spans="4:4" x14ac:dyDescent="0.2">
      <c r="D1085" s="1"/>
    </row>
    <row r="1086" spans="4:4" x14ac:dyDescent="0.2">
      <c r="D1086" s="1"/>
    </row>
    <row r="1087" spans="4:4" x14ac:dyDescent="0.2">
      <c r="D1087" s="1"/>
    </row>
    <row r="1088" spans="4:4" x14ac:dyDescent="0.2">
      <c r="D1088" s="1"/>
    </row>
    <row r="1089" spans="4:4" x14ac:dyDescent="0.2">
      <c r="D1089" s="1"/>
    </row>
    <row r="1090" spans="4:4" x14ac:dyDescent="0.2">
      <c r="D1090" s="1"/>
    </row>
    <row r="1091" spans="4:4" x14ac:dyDescent="0.2">
      <c r="D1091" s="1"/>
    </row>
    <row r="1092" spans="4:4" x14ac:dyDescent="0.2">
      <c r="D1092" s="1"/>
    </row>
    <row r="1093" spans="4:4" x14ac:dyDescent="0.2">
      <c r="D1093" s="1"/>
    </row>
    <row r="1094" spans="4:4" x14ac:dyDescent="0.2">
      <c r="D1094" s="1"/>
    </row>
    <row r="1095" spans="4:4" x14ac:dyDescent="0.2">
      <c r="D1095" s="1"/>
    </row>
    <row r="1096" spans="4:4" x14ac:dyDescent="0.2">
      <c r="D1096" s="1"/>
    </row>
    <row r="1097" spans="4:4" x14ac:dyDescent="0.2">
      <c r="D1097" s="1"/>
    </row>
    <row r="1099" spans="4:4" x14ac:dyDescent="0.2">
      <c r="D1099" s="1"/>
    </row>
    <row r="1100" spans="4:4" x14ac:dyDescent="0.2">
      <c r="D1100" s="1"/>
    </row>
    <row r="1101" spans="4:4" x14ac:dyDescent="0.2">
      <c r="D1101" s="1"/>
    </row>
    <row r="1102" spans="4:4" x14ac:dyDescent="0.2">
      <c r="D1102" s="1"/>
    </row>
    <row r="1103" spans="4:4" x14ac:dyDescent="0.2">
      <c r="D1103" s="1"/>
    </row>
    <row r="1104" spans="4:4" x14ac:dyDescent="0.2">
      <c r="D1104" s="1"/>
    </row>
    <row r="1105" spans="4:4" x14ac:dyDescent="0.2">
      <c r="D1105" s="1"/>
    </row>
    <row r="1106" spans="4:4" x14ac:dyDescent="0.2">
      <c r="D1106" s="1"/>
    </row>
    <row r="1107" spans="4:4" x14ac:dyDescent="0.2">
      <c r="D1107" s="1"/>
    </row>
    <row r="1108" spans="4:4" x14ac:dyDescent="0.2">
      <c r="D1108" s="1"/>
    </row>
    <row r="1109" spans="4:4" x14ac:dyDescent="0.2">
      <c r="D1109" s="1"/>
    </row>
    <row r="1110" spans="4:4" x14ac:dyDescent="0.2">
      <c r="D1110" s="1"/>
    </row>
    <row r="1111" spans="4:4" x14ac:dyDescent="0.2">
      <c r="D1111" s="1"/>
    </row>
    <row r="1113" spans="4:4" x14ac:dyDescent="0.2">
      <c r="D1113" s="1"/>
    </row>
    <row r="1114" spans="4:4" x14ac:dyDescent="0.2">
      <c r="D1114" s="1"/>
    </row>
    <row r="1115" spans="4:4" x14ac:dyDescent="0.2">
      <c r="D1115" s="1"/>
    </row>
    <row r="1116" spans="4:4" x14ac:dyDescent="0.2">
      <c r="D1116" s="1"/>
    </row>
    <row r="1117" spans="4:4" x14ac:dyDescent="0.2">
      <c r="D1117" s="1"/>
    </row>
    <row r="1118" spans="4:4" x14ac:dyDescent="0.2">
      <c r="D1118" s="1"/>
    </row>
    <row r="1119" spans="4:4" x14ac:dyDescent="0.2">
      <c r="D1119" s="1"/>
    </row>
    <row r="1120" spans="4:4" x14ac:dyDescent="0.2">
      <c r="D1120" s="1"/>
    </row>
    <row r="1121" spans="4:4" x14ac:dyDescent="0.2">
      <c r="D1121" s="1"/>
    </row>
    <row r="1125" spans="4:4" x14ac:dyDescent="0.2">
      <c r="D1125" s="1"/>
    </row>
    <row r="1127" spans="4:4" x14ac:dyDescent="0.2">
      <c r="D1127" s="1"/>
    </row>
    <row r="1129" spans="4:4" x14ac:dyDescent="0.2">
      <c r="D1129" s="1"/>
    </row>
    <row r="1130" spans="4:4" x14ac:dyDescent="0.2">
      <c r="D1130" s="1"/>
    </row>
    <row r="1131" spans="4:4" x14ac:dyDescent="0.2">
      <c r="D1131" s="1"/>
    </row>
    <row r="1133" spans="4:4" x14ac:dyDescent="0.2">
      <c r="D1133" s="1"/>
    </row>
    <row r="1134" spans="4:4" x14ac:dyDescent="0.2">
      <c r="D1134" s="1"/>
    </row>
    <row r="1135" spans="4:4" x14ac:dyDescent="0.2">
      <c r="D1135" s="1"/>
    </row>
    <row r="1138" spans="4:4" x14ac:dyDescent="0.2">
      <c r="D1138" s="1"/>
    </row>
    <row r="1139" spans="4:4" x14ac:dyDescent="0.2">
      <c r="D1139" s="1"/>
    </row>
    <row r="1142" spans="4:4" x14ac:dyDescent="0.2">
      <c r="D1142" s="1"/>
    </row>
    <row r="1151" spans="4:4" x14ac:dyDescent="0.2">
      <c r="D1151" s="1"/>
    </row>
    <row r="1153" spans="4:4" x14ac:dyDescent="0.2">
      <c r="D1153" s="1"/>
    </row>
    <row r="1418" spans="4:4" x14ac:dyDescent="0.2">
      <c r="D1418" s="1"/>
    </row>
    <row r="1421" spans="4:4" x14ac:dyDescent="0.2">
      <c r="D1421" s="1"/>
    </row>
    <row r="1422" spans="4:4" x14ac:dyDescent="0.2">
      <c r="D1422" s="1"/>
    </row>
    <row r="1423" spans="4:4" x14ac:dyDescent="0.2">
      <c r="D1423" s="1"/>
    </row>
    <row r="1425" spans="4:4" x14ac:dyDescent="0.2">
      <c r="D1425" s="1"/>
    </row>
    <row r="1432" spans="4:4" x14ac:dyDescent="0.2">
      <c r="D1432" s="1"/>
    </row>
    <row r="1438" spans="4:4" x14ac:dyDescent="0.2">
      <c r="D1438" s="1"/>
    </row>
    <row r="1446" spans="4:4" x14ac:dyDescent="0.2">
      <c r="D1446" s="1"/>
    </row>
    <row r="1451" spans="4:4" x14ac:dyDescent="0.2">
      <c r="D1451" s="1"/>
    </row>
    <row r="1452" spans="4:4" x14ac:dyDescent="0.2">
      <c r="D1452" s="1"/>
    </row>
    <row r="1460" spans="4:4" x14ac:dyDescent="0.2">
      <c r="D1460" s="1"/>
    </row>
    <row r="1461" spans="4:4" x14ac:dyDescent="0.2">
      <c r="D1461" s="1"/>
    </row>
    <row r="1463" spans="4:4" x14ac:dyDescent="0.2">
      <c r="D1463" s="1"/>
    </row>
    <row r="1464" spans="4:4" x14ac:dyDescent="0.2">
      <c r="D1464" s="1"/>
    </row>
    <row r="1465" spans="4:4" x14ac:dyDescent="0.2">
      <c r="D1465" s="1"/>
    </row>
    <row r="1467" spans="4:4" x14ac:dyDescent="0.2">
      <c r="D1467" s="1"/>
    </row>
    <row r="1469" spans="4:4" x14ac:dyDescent="0.2">
      <c r="D1469" s="1"/>
    </row>
    <row r="1470" spans="4:4" x14ac:dyDescent="0.2">
      <c r="D1470" s="1"/>
    </row>
    <row r="1471" spans="4:4" x14ac:dyDescent="0.2">
      <c r="D1471" s="1"/>
    </row>
    <row r="1472" spans="4:4" x14ac:dyDescent="0.2">
      <c r="D1472" s="1"/>
    </row>
    <row r="1473" spans="4:4" x14ac:dyDescent="0.2">
      <c r="D1473" s="1"/>
    </row>
    <row r="1474" spans="4:4" x14ac:dyDescent="0.2">
      <c r="D1474" s="1"/>
    </row>
    <row r="1476" spans="4:4" x14ac:dyDescent="0.2">
      <c r="D1476" s="1"/>
    </row>
    <row r="1477" spans="4:4" x14ac:dyDescent="0.2">
      <c r="D1477" s="1"/>
    </row>
    <row r="1479" spans="4:4" x14ac:dyDescent="0.2">
      <c r="D1479" s="1"/>
    </row>
    <row r="1480" spans="4:4" x14ac:dyDescent="0.2">
      <c r="D1480" s="1"/>
    </row>
    <row r="1481" spans="4:4" x14ac:dyDescent="0.2">
      <c r="D1481" s="1"/>
    </row>
    <row r="1482" spans="4:4" x14ac:dyDescent="0.2">
      <c r="D1482" s="1"/>
    </row>
    <row r="1483" spans="4:4" x14ac:dyDescent="0.2">
      <c r="D1483" s="1"/>
    </row>
    <row r="1484" spans="4:4" x14ac:dyDescent="0.2">
      <c r="D1484" s="1"/>
    </row>
    <row r="1485" spans="4:4" x14ac:dyDescent="0.2">
      <c r="D1485" s="1"/>
    </row>
    <row r="1486" spans="4:4" x14ac:dyDescent="0.2">
      <c r="D1486" s="1"/>
    </row>
    <row r="1487" spans="4:4" x14ac:dyDescent="0.2">
      <c r="D1487" s="1"/>
    </row>
    <row r="1488" spans="4:4" x14ac:dyDescent="0.2">
      <c r="D1488" s="1"/>
    </row>
    <row r="1489" spans="4:4" x14ac:dyDescent="0.2">
      <c r="D1489" s="1"/>
    </row>
    <row r="1490" spans="4:4" x14ac:dyDescent="0.2">
      <c r="D1490" s="1"/>
    </row>
    <row r="1491" spans="4:4" x14ac:dyDescent="0.2">
      <c r="D1491" s="1"/>
    </row>
    <row r="1492" spans="4:4" x14ac:dyDescent="0.2">
      <c r="D1492" s="1"/>
    </row>
    <row r="1493" spans="4:4" x14ac:dyDescent="0.2">
      <c r="D1493" s="1"/>
    </row>
    <row r="1494" spans="4:4" x14ac:dyDescent="0.2">
      <c r="D1494" s="1"/>
    </row>
    <row r="1495" spans="4:4" x14ac:dyDescent="0.2">
      <c r="D1495" s="1"/>
    </row>
    <row r="1496" spans="4:4" x14ac:dyDescent="0.2">
      <c r="D1496" s="1"/>
    </row>
    <row r="1497" spans="4:4" x14ac:dyDescent="0.2">
      <c r="D1497" s="1"/>
    </row>
    <row r="1498" spans="4:4" x14ac:dyDescent="0.2">
      <c r="D1498" s="1"/>
    </row>
    <row r="1499" spans="4:4" x14ac:dyDescent="0.2">
      <c r="D1499" s="1"/>
    </row>
    <row r="1500" spans="4:4" x14ac:dyDescent="0.2">
      <c r="D1500" s="1"/>
    </row>
    <row r="1501" spans="4:4" x14ac:dyDescent="0.2">
      <c r="D1501" s="1"/>
    </row>
    <row r="1502" spans="4:4" x14ac:dyDescent="0.2">
      <c r="D1502" s="1"/>
    </row>
    <row r="1503" spans="4:4" x14ac:dyDescent="0.2">
      <c r="D1503" s="1"/>
    </row>
    <row r="1504" spans="4:4" x14ac:dyDescent="0.2">
      <c r="D1504" s="1"/>
    </row>
    <row r="1505" spans="4:4" x14ac:dyDescent="0.2">
      <c r="D1505" s="1"/>
    </row>
    <row r="1506" spans="4:4" x14ac:dyDescent="0.2">
      <c r="D1506" s="1"/>
    </row>
    <row r="1507" spans="4:4" x14ac:dyDescent="0.2">
      <c r="D1507" s="1"/>
    </row>
    <row r="1508" spans="4:4" x14ac:dyDescent="0.2">
      <c r="D1508" s="1"/>
    </row>
    <row r="1509" spans="4:4" x14ac:dyDescent="0.2">
      <c r="D1509" s="1"/>
    </row>
    <row r="1510" spans="4:4" x14ac:dyDescent="0.2">
      <c r="D1510" s="1"/>
    </row>
    <row r="1511" spans="4:4" x14ac:dyDescent="0.2">
      <c r="D1511" s="1"/>
    </row>
    <row r="1512" spans="4:4" x14ac:dyDescent="0.2">
      <c r="D1512" s="1"/>
    </row>
    <row r="1513" spans="4:4" x14ac:dyDescent="0.2">
      <c r="D1513" s="1"/>
    </row>
    <row r="1514" spans="4:4" x14ac:dyDescent="0.2">
      <c r="D1514" s="1"/>
    </row>
    <row r="1515" spans="4:4" x14ac:dyDescent="0.2">
      <c r="D1515" s="1"/>
    </row>
    <row r="1516" spans="4:4" x14ac:dyDescent="0.2">
      <c r="D1516" s="1"/>
    </row>
    <row r="1517" spans="4:4" x14ac:dyDescent="0.2">
      <c r="D1517" s="1"/>
    </row>
    <row r="1518" spans="4:4" x14ac:dyDescent="0.2">
      <c r="D1518" s="1"/>
    </row>
    <row r="1519" spans="4:4" x14ac:dyDescent="0.2">
      <c r="D1519" s="1"/>
    </row>
    <row r="1520" spans="4:4" x14ac:dyDescent="0.2">
      <c r="D1520" s="1"/>
    </row>
    <row r="1521" spans="4:4" x14ac:dyDescent="0.2">
      <c r="D1521" s="1"/>
    </row>
    <row r="1522" spans="4:4" x14ac:dyDescent="0.2">
      <c r="D1522" s="1"/>
    </row>
    <row r="1523" spans="4:4" x14ac:dyDescent="0.2">
      <c r="D1523" s="1"/>
    </row>
    <row r="1524" spans="4:4" x14ac:dyDescent="0.2">
      <c r="D1524" s="1"/>
    </row>
    <row r="1525" spans="4:4" x14ac:dyDescent="0.2">
      <c r="D1525" s="1"/>
    </row>
    <row r="1526" spans="4:4" x14ac:dyDescent="0.2">
      <c r="D1526" s="1"/>
    </row>
    <row r="1527" spans="4:4" x14ac:dyDescent="0.2">
      <c r="D1527" s="1"/>
    </row>
    <row r="1528" spans="4:4" x14ac:dyDescent="0.2">
      <c r="D1528" s="1"/>
    </row>
    <row r="1529" spans="4:4" x14ac:dyDescent="0.2">
      <c r="D1529" s="1"/>
    </row>
    <row r="1530" spans="4:4" x14ac:dyDescent="0.2">
      <c r="D1530" s="1"/>
    </row>
    <row r="1531" spans="4:4" x14ac:dyDescent="0.2">
      <c r="D1531" s="1"/>
    </row>
    <row r="1532" spans="4:4" x14ac:dyDescent="0.2">
      <c r="D1532" s="1"/>
    </row>
    <row r="1533" spans="4:4" x14ac:dyDescent="0.2">
      <c r="D1533" s="1"/>
    </row>
    <row r="1534" spans="4:4" x14ac:dyDescent="0.2">
      <c r="D1534" s="1"/>
    </row>
    <row r="1535" spans="4:4" x14ac:dyDescent="0.2">
      <c r="D1535" s="1"/>
    </row>
    <row r="1536" spans="4:4" x14ac:dyDescent="0.2">
      <c r="D1536" s="1"/>
    </row>
    <row r="1537" spans="4:4" x14ac:dyDescent="0.2">
      <c r="D1537" s="1"/>
    </row>
    <row r="1538" spans="4:4" x14ac:dyDescent="0.2">
      <c r="D1538" s="1"/>
    </row>
    <row r="1539" spans="4:4" x14ac:dyDescent="0.2">
      <c r="D1539" s="1"/>
    </row>
    <row r="1540" spans="4:4" x14ac:dyDescent="0.2">
      <c r="D1540" s="1"/>
    </row>
    <row r="1541" spans="4:4" x14ac:dyDescent="0.2">
      <c r="D1541" s="1"/>
    </row>
    <row r="1542" spans="4:4" x14ac:dyDescent="0.2">
      <c r="D1542" s="1"/>
    </row>
    <row r="1543" spans="4:4" x14ac:dyDescent="0.2">
      <c r="D1543" s="1"/>
    </row>
    <row r="1544" spans="4:4" x14ac:dyDescent="0.2">
      <c r="D1544" s="1"/>
    </row>
    <row r="1545" spans="4:4" x14ac:dyDescent="0.2">
      <c r="D1545" s="1"/>
    </row>
    <row r="1546" spans="4:4" x14ac:dyDescent="0.2">
      <c r="D1546" s="1"/>
    </row>
    <row r="1547" spans="4:4" x14ac:dyDescent="0.2">
      <c r="D1547" s="1"/>
    </row>
    <row r="1548" spans="4:4" x14ac:dyDescent="0.2">
      <c r="D1548" s="1"/>
    </row>
    <row r="1549" spans="4:4" x14ac:dyDescent="0.2">
      <c r="D1549" s="1"/>
    </row>
    <row r="1550" spans="4:4" x14ac:dyDescent="0.2">
      <c r="D1550" s="1"/>
    </row>
    <row r="1551" spans="4:4" x14ac:dyDescent="0.2">
      <c r="D1551" s="1"/>
    </row>
    <row r="1552" spans="4:4" x14ac:dyDescent="0.2">
      <c r="D1552" s="1"/>
    </row>
    <row r="1553" spans="4:4" x14ac:dyDescent="0.2">
      <c r="D1553" s="1"/>
    </row>
    <row r="1554" spans="4:4" x14ac:dyDescent="0.2">
      <c r="D1554" s="1"/>
    </row>
    <row r="1555" spans="4:4" x14ac:dyDescent="0.2">
      <c r="D1555" s="1"/>
    </row>
    <row r="1556" spans="4:4" x14ac:dyDescent="0.2">
      <c r="D1556" s="1"/>
    </row>
    <row r="1557" spans="4:4" x14ac:dyDescent="0.2">
      <c r="D1557" s="1"/>
    </row>
    <row r="1558" spans="4:4" x14ac:dyDescent="0.2">
      <c r="D1558" s="1"/>
    </row>
    <row r="1559" spans="4:4" x14ac:dyDescent="0.2">
      <c r="D1559" s="1"/>
    </row>
    <row r="1560" spans="4:4" x14ac:dyDescent="0.2">
      <c r="D1560" s="1"/>
    </row>
    <row r="1561" spans="4:4" x14ac:dyDescent="0.2">
      <c r="D1561" s="1"/>
    </row>
    <row r="1562" spans="4:4" x14ac:dyDescent="0.2">
      <c r="D1562" s="1"/>
    </row>
    <row r="1563" spans="4:4" x14ac:dyDescent="0.2">
      <c r="D1563" s="1"/>
    </row>
    <row r="1564" spans="4:4" x14ac:dyDescent="0.2">
      <c r="D1564" s="1"/>
    </row>
    <row r="1565" spans="4:4" x14ac:dyDescent="0.2">
      <c r="D1565" s="1"/>
    </row>
    <row r="1566" spans="4:4" x14ac:dyDescent="0.2">
      <c r="D1566" s="1"/>
    </row>
    <row r="1567" spans="4:4" x14ac:dyDescent="0.2">
      <c r="D1567" s="1"/>
    </row>
    <row r="1568" spans="4:4" x14ac:dyDescent="0.2">
      <c r="D1568" s="1"/>
    </row>
    <row r="1569" spans="4:4" x14ac:dyDescent="0.2">
      <c r="D1569" s="1"/>
    </row>
    <row r="1570" spans="4:4" x14ac:dyDescent="0.2">
      <c r="D1570" s="1"/>
    </row>
    <row r="1571" spans="4:4" x14ac:dyDescent="0.2">
      <c r="D1571" s="1"/>
    </row>
    <row r="1572" spans="4:4" x14ac:dyDescent="0.2">
      <c r="D1572" s="1"/>
    </row>
    <row r="1573" spans="4:4" x14ac:dyDescent="0.2">
      <c r="D1573" s="1"/>
    </row>
    <row r="1574" spans="4:4" x14ac:dyDescent="0.2">
      <c r="D1574" s="1"/>
    </row>
    <row r="1575" spans="4:4" x14ac:dyDescent="0.2">
      <c r="D1575" s="1"/>
    </row>
    <row r="1576" spans="4:4" x14ac:dyDescent="0.2">
      <c r="D1576" s="1"/>
    </row>
    <row r="1577" spans="4:4" x14ac:dyDescent="0.2">
      <c r="D1577" s="1"/>
    </row>
    <row r="1578" spans="4:4" x14ac:dyDescent="0.2">
      <c r="D1578" s="1"/>
    </row>
    <row r="1579" spans="4:4" x14ac:dyDescent="0.2">
      <c r="D1579" s="1"/>
    </row>
    <row r="1580" spans="4:4" x14ac:dyDescent="0.2">
      <c r="D1580" s="1"/>
    </row>
    <row r="1581" spans="4:4" x14ac:dyDescent="0.2">
      <c r="D1581" s="1"/>
    </row>
    <row r="1582" spans="4:4" x14ac:dyDescent="0.2">
      <c r="D1582" s="1"/>
    </row>
    <row r="1583" spans="4:4" x14ac:dyDescent="0.2">
      <c r="D1583" s="1"/>
    </row>
    <row r="1584" spans="4:4" x14ac:dyDescent="0.2">
      <c r="D1584" s="1"/>
    </row>
    <row r="1585" spans="4:4" x14ac:dyDescent="0.2">
      <c r="D1585" s="1"/>
    </row>
    <row r="1586" spans="4:4" x14ac:dyDescent="0.2">
      <c r="D1586" s="1"/>
    </row>
    <row r="1587" spans="4:4" x14ac:dyDescent="0.2">
      <c r="D1587" s="1"/>
    </row>
    <row r="1588" spans="4:4" x14ac:dyDescent="0.2">
      <c r="D1588" s="1"/>
    </row>
    <row r="1589" spans="4:4" x14ac:dyDescent="0.2">
      <c r="D1589" s="1"/>
    </row>
    <row r="1590" spans="4:4" x14ac:dyDescent="0.2">
      <c r="D1590" s="1"/>
    </row>
    <row r="1591" spans="4:4" x14ac:dyDescent="0.2">
      <c r="D1591" s="1"/>
    </row>
    <row r="1592" spans="4:4" x14ac:dyDescent="0.2">
      <c r="D1592" s="1"/>
    </row>
    <row r="1593" spans="4:4" x14ac:dyDescent="0.2">
      <c r="D1593" s="1"/>
    </row>
    <row r="1594" spans="4:4" x14ac:dyDescent="0.2">
      <c r="D1594" s="1"/>
    </row>
    <row r="1595" spans="4:4" x14ac:dyDescent="0.2">
      <c r="D1595" s="1"/>
    </row>
    <row r="1596" spans="4:4" x14ac:dyDescent="0.2">
      <c r="D1596" s="1"/>
    </row>
    <row r="1597" spans="4:4" x14ac:dyDescent="0.2">
      <c r="D1597" s="1"/>
    </row>
    <row r="1598" spans="4:4" x14ac:dyDescent="0.2">
      <c r="D1598" s="1"/>
    </row>
    <row r="1599" spans="4:4" x14ac:dyDescent="0.2">
      <c r="D1599" s="1"/>
    </row>
    <row r="1600" spans="4:4" x14ac:dyDescent="0.2">
      <c r="D1600" s="1"/>
    </row>
    <row r="1601" spans="4:4" x14ac:dyDescent="0.2">
      <c r="D1601" s="1"/>
    </row>
    <row r="1602" spans="4:4" x14ac:dyDescent="0.2">
      <c r="D1602" s="1"/>
    </row>
    <row r="1603" spans="4:4" x14ac:dyDescent="0.2">
      <c r="D1603" s="1"/>
    </row>
    <row r="1604" spans="4:4" x14ac:dyDescent="0.2">
      <c r="D1604" s="1"/>
    </row>
    <row r="1605" spans="4:4" x14ac:dyDescent="0.2">
      <c r="D1605" s="1"/>
    </row>
    <row r="1606" spans="4:4" x14ac:dyDescent="0.2">
      <c r="D1606" s="1"/>
    </row>
    <row r="1610" spans="4:4" x14ac:dyDescent="0.2">
      <c r="D1610" s="1"/>
    </row>
    <row r="1611" spans="4:4" x14ac:dyDescent="0.2">
      <c r="D1611" s="1"/>
    </row>
    <row r="1612" spans="4:4" x14ac:dyDescent="0.2">
      <c r="D1612" s="1"/>
    </row>
    <row r="1613" spans="4:4" x14ac:dyDescent="0.2">
      <c r="D1613" s="1"/>
    </row>
    <row r="1614" spans="4:4" x14ac:dyDescent="0.2">
      <c r="D1614" s="1"/>
    </row>
    <row r="1615" spans="4:4" x14ac:dyDescent="0.2">
      <c r="D1615" s="1"/>
    </row>
    <row r="1616" spans="4:4" x14ac:dyDescent="0.2">
      <c r="D1616" s="1"/>
    </row>
    <row r="1617" spans="4:4" x14ac:dyDescent="0.2">
      <c r="D1617" s="1"/>
    </row>
    <row r="1618" spans="4:4" x14ac:dyDescent="0.2">
      <c r="D1618" s="1"/>
    </row>
    <row r="1619" spans="4:4" x14ac:dyDescent="0.2">
      <c r="D1619" s="1"/>
    </row>
    <row r="1620" spans="4:4" x14ac:dyDescent="0.2">
      <c r="D1620" s="1"/>
    </row>
    <row r="1621" spans="4:4" x14ac:dyDescent="0.2">
      <c r="D1621" s="1"/>
    </row>
    <row r="1622" spans="4:4" x14ac:dyDescent="0.2">
      <c r="D1622" s="1"/>
    </row>
    <row r="1623" spans="4:4" x14ac:dyDescent="0.2">
      <c r="D1623" s="1"/>
    </row>
    <row r="1624" spans="4:4" x14ac:dyDescent="0.2">
      <c r="D1624" s="1"/>
    </row>
    <row r="1625" spans="4:4" x14ac:dyDescent="0.2">
      <c r="D1625" s="1"/>
    </row>
    <row r="1626" spans="4:4" x14ac:dyDescent="0.2">
      <c r="D1626" s="1"/>
    </row>
    <row r="1627" spans="4:4" x14ac:dyDescent="0.2">
      <c r="D1627" s="1"/>
    </row>
    <row r="1628" spans="4:4" x14ac:dyDescent="0.2">
      <c r="D1628" s="1"/>
    </row>
    <row r="1629" spans="4:4" x14ac:dyDescent="0.2">
      <c r="D1629" s="1"/>
    </row>
    <row r="1630" spans="4:4" x14ac:dyDescent="0.2">
      <c r="D1630" s="1"/>
    </row>
    <row r="1631" spans="4:4" x14ac:dyDescent="0.2">
      <c r="D1631" s="1"/>
    </row>
    <row r="1632" spans="4:4" x14ac:dyDescent="0.2">
      <c r="D1632" s="1"/>
    </row>
    <row r="1633" spans="4:4" x14ac:dyDescent="0.2">
      <c r="D1633" s="1"/>
    </row>
    <row r="1634" spans="4:4" x14ac:dyDescent="0.2">
      <c r="D1634" s="1"/>
    </row>
    <row r="1635" spans="4:4" x14ac:dyDescent="0.2">
      <c r="D1635" s="1"/>
    </row>
    <row r="1636" spans="4:4" x14ac:dyDescent="0.2">
      <c r="D1636" s="1"/>
    </row>
    <row r="1637" spans="4:4" x14ac:dyDescent="0.2">
      <c r="D1637" s="1"/>
    </row>
    <row r="1638" spans="4:4" x14ac:dyDescent="0.2">
      <c r="D1638" s="1"/>
    </row>
    <row r="1639" spans="4:4" x14ac:dyDescent="0.2">
      <c r="D1639" s="1"/>
    </row>
    <row r="1640" spans="4:4" x14ac:dyDescent="0.2">
      <c r="D1640" s="1"/>
    </row>
    <row r="1641" spans="4:4" x14ac:dyDescent="0.2">
      <c r="D1641" s="1"/>
    </row>
    <row r="1642" spans="4:4" x14ac:dyDescent="0.2">
      <c r="D1642" s="1"/>
    </row>
    <row r="1643" spans="4:4" x14ac:dyDescent="0.2">
      <c r="D1643" s="1"/>
    </row>
    <row r="1644" spans="4:4" x14ac:dyDescent="0.2">
      <c r="D1644" s="1"/>
    </row>
    <row r="1645" spans="4:4" x14ac:dyDescent="0.2">
      <c r="D1645" s="1"/>
    </row>
    <row r="1646" spans="4:4" x14ac:dyDescent="0.2">
      <c r="D1646" s="1"/>
    </row>
    <row r="1647" spans="4:4" x14ac:dyDescent="0.2">
      <c r="D1647" s="1"/>
    </row>
    <row r="1648" spans="4:4" x14ac:dyDescent="0.2">
      <c r="D1648" s="1"/>
    </row>
    <row r="1649" spans="4:4" x14ac:dyDescent="0.2">
      <c r="D1649" s="1"/>
    </row>
    <row r="1650" spans="4:4" x14ac:dyDescent="0.2">
      <c r="D1650" s="1"/>
    </row>
    <row r="1651" spans="4:4" x14ac:dyDescent="0.2">
      <c r="D1651" s="1"/>
    </row>
    <row r="1652" spans="4:4" x14ac:dyDescent="0.2">
      <c r="D1652" s="1"/>
    </row>
    <row r="1653" spans="4:4" x14ac:dyDescent="0.2">
      <c r="D1653" s="1"/>
    </row>
    <row r="1654" spans="4:4" x14ac:dyDescent="0.2">
      <c r="D1654" s="1"/>
    </row>
    <row r="1655" spans="4:4" x14ac:dyDescent="0.2">
      <c r="D1655" s="1"/>
    </row>
    <row r="1656" spans="4:4" x14ac:dyDescent="0.2">
      <c r="D1656" s="1"/>
    </row>
    <row r="1657" spans="4:4" x14ac:dyDescent="0.2">
      <c r="D1657" s="1"/>
    </row>
    <row r="1658" spans="4:4" x14ac:dyDescent="0.2">
      <c r="D1658" s="1"/>
    </row>
    <row r="1659" spans="4:4" x14ac:dyDescent="0.2">
      <c r="D1659" s="1"/>
    </row>
    <row r="1660" spans="4:4" x14ac:dyDescent="0.2">
      <c r="D1660" s="1"/>
    </row>
    <row r="1661" spans="4:4" x14ac:dyDescent="0.2">
      <c r="D1661" s="1"/>
    </row>
    <row r="1662" spans="4:4" x14ac:dyDescent="0.2">
      <c r="D1662" s="1"/>
    </row>
    <row r="1663" spans="4:4" x14ac:dyDescent="0.2">
      <c r="D1663" s="1"/>
    </row>
    <row r="1664" spans="4:4" x14ac:dyDescent="0.2">
      <c r="D1664" s="1"/>
    </row>
    <row r="1665" spans="4:4" x14ac:dyDescent="0.2">
      <c r="D1665" s="1"/>
    </row>
    <row r="1666" spans="4:4" x14ac:dyDescent="0.2">
      <c r="D1666" s="1"/>
    </row>
    <row r="1667" spans="4:4" x14ac:dyDescent="0.2">
      <c r="D1667" s="1"/>
    </row>
    <row r="1668" spans="4:4" x14ac:dyDescent="0.2">
      <c r="D1668" s="1"/>
    </row>
    <row r="1669" spans="4:4" x14ac:dyDescent="0.2">
      <c r="D1669" s="1"/>
    </row>
    <row r="1670" spans="4:4" x14ac:dyDescent="0.2">
      <c r="D1670" s="1"/>
    </row>
    <row r="1671" spans="4:4" x14ac:dyDescent="0.2">
      <c r="D1671" s="1"/>
    </row>
    <row r="1672" spans="4:4" x14ac:dyDescent="0.2">
      <c r="D1672" s="1"/>
    </row>
    <row r="1673" spans="4:4" x14ac:dyDescent="0.2">
      <c r="D1673" s="1"/>
    </row>
    <row r="1674" spans="4:4" x14ac:dyDescent="0.2">
      <c r="D1674" s="1"/>
    </row>
    <row r="1675" spans="4:4" x14ac:dyDescent="0.2">
      <c r="D1675" s="1"/>
    </row>
    <row r="1676" spans="4:4" x14ac:dyDescent="0.2">
      <c r="D1676" s="1"/>
    </row>
    <row r="1677" spans="4:4" x14ac:dyDescent="0.2">
      <c r="D1677" s="1"/>
    </row>
    <row r="1678" spans="4:4" x14ac:dyDescent="0.2">
      <c r="D1678" s="1"/>
    </row>
    <row r="1679" spans="4:4" x14ac:dyDescent="0.2">
      <c r="D1679" s="1"/>
    </row>
    <row r="1680" spans="4:4" x14ac:dyDescent="0.2">
      <c r="D1680" s="1"/>
    </row>
    <row r="1681" spans="4:4" x14ac:dyDescent="0.2">
      <c r="D1681" s="1"/>
    </row>
    <row r="1682" spans="4:4" x14ac:dyDescent="0.2">
      <c r="D1682" s="1"/>
    </row>
    <row r="1683" spans="4:4" x14ac:dyDescent="0.2">
      <c r="D1683" s="1"/>
    </row>
    <row r="1684" spans="4:4" x14ac:dyDescent="0.2">
      <c r="D1684" s="1"/>
    </row>
    <row r="1685" spans="4:4" x14ac:dyDescent="0.2">
      <c r="D1685" s="1"/>
    </row>
    <row r="1686" spans="4:4" x14ac:dyDescent="0.2">
      <c r="D1686" s="1"/>
    </row>
    <row r="1687" spans="4:4" x14ac:dyDescent="0.2">
      <c r="D1687" s="1"/>
    </row>
    <row r="1688" spans="4:4" x14ac:dyDescent="0.2">
      <c r="D1688" s="1"/>
    </row>
    <row r="1689" spans="4:4" x14ac:dyDescent="0.2">
      <c r="D1689" s="1"/>
    </row>
    <row r="1690" spans="4:4" x14ac:dyDescent="0.2">
      <c r="D1690" s="1"/>
    </row>
    <row r="1691" spans="4:4" x14ac:dyDescent="0.2">
      <c r="D1691" s="1"/>
    </row>
    <row r="1692" spans="4:4" x14ac:dyDescent="0.2">
      <c r="D1692" s="1"/>
    </row>
    <row r="1693" spans="4:4" x14ac:dyDescent="0.2">
      <c r="D1693" s="1"/>
    </row>
    <row r="1694" spans="4:4" x14ac:dyDescent="0.2">
      <c r="D1694" s="1"/>
    </row>
    <row r="1695" spans="4:4" x14ac:dyDescent="0.2">
      <c r="D1695" s="1"/>
    </row>
    <row r="1696" spans="4:4" x14ac:dyDescent="0.2">
      <c r="D1696" s="1"/>
    </row>
    <row r="1697" spans="4:4" x14ac:dyDescent="0.2">
      <c r="D1697" s="1"/>
    </row>
    <row r="1698" spans="4:4" x14ac:dyDescent="0.2">
      <c r="D1698" s="1"/>
    </row>
    <row r="1699" spans="4:4" x14ac:dyDescent="0.2">
      <c r="D1699" s="1"/>
    </row>
    <row r="1700" spans="4:4" x14ac:dyDescent="0.2">
      <c r="D1700" s="1"/>
    </row>
    <row r="1701" spans="4:4" x14ac:dyDescent="0.2">
      <c r="D1701" s="1"/>
    </row>
    <row r="1702" spans="4:4" x14ac:dyDescent="0.2">
      <c r="D1702" s="1"/>
    </row>
    <row r="1703" spans="4:4" x14ac:dyDescent="0.2">
      <c r="D1703" s="1"/>
    </row>
    <row r="1704" spans="4:4" x14ac:dyDescent="0.2">
      <c r="D1704" s="1"/>
    </row>
    <row r="1705" spans="4:4" x14ac:dyDescent="0.2">
      <c r="D1705" s="1"/>
    </row>
    <row r="1706" spans="4:4" x14ac:dyDescent="0.2">
      <c r="D1706" s="1"/>
    </row>
    <row r="1707" spans="4:4" x14ac:dyDescent="0.2">
      <c r="D1707" s="1"/>
    </row>
    <row r="1708" spans="4:4" x14ac:dyDescent="0.2">
      <c r="D1708" s="1"/>
    </row>
    <row r="1709" spans="4:4" x14ac:dyDescent="0.2">
      <c r="D1709" s="1"/>
    </row>
    <row r="1710" spans="4:4" x14ac:dyDescent="0.2">
      <c r="D1710" s="1"/>
    </row>
    <row r="1711" spans="4:4" x14ac:dyDescent="0.2">
      <c r="D1711" s="1"/>
    </row>
    <row r="1712" spans="4:4" x14ac:dyDescent="0.2">
      <c r="D1712" s="1"/>
    </row>
    <row r="1713" spans="4:4" x14ac:dyDescent="0.2">
      <c r="D1713" s="1"/>
    </row>
    <row r="1714" spans="4:4" x14ac:dyDescent="0.2">
      <c r="D1714" s="1"/>
    </row>
    <row r="1715" spans="4:4" x14ac:dyDescent="0.2">
      <c r="D1715" s="1"/>
    </row>
    <row r="1716" spans="4:4" x14ac:dyDescent="0.2">
      <c r="D1716" s="1"/>
    </row>
    <row r="1717" spans="4:4" x14ac:dyDescent="0.2">
      <c r="D1717" s="1"/>
    </row>
    <row r="1718" spans="4:4" x14ac:dyDescent="0.2">
      <c r="D1718" s="1"/>
    </row>
    <row r="1719" spans="4:4" x14ac:dyDescent="0.2">
      <c r="D1719" s="1"/>
    </row>
    <row r="1720" spans="4:4" x14ac:dyDescent="0.2">
      <c r="D1720" s="1"/>
    </row>
    <row r="1721" spans="4:4" x14ac:dyDescent="0.2">
      <c r="D1721" s="1"/>
    </row>
    <row r="1722" spans="4:4" x14ac:dyDescent="0.2">
      <c r="D1722" s="1"/>
    </row>
    <row r="1723" spans="4:4" x14ac:dyDescent="0.2">
      <c r="D1723" s="1"/>
    </row>
    <row r="1724" spans="4:4" x14ac:dyDescent="0.2">
      <c r="D1724" s="1"/>
    </row>
    <row r="1725" spans="4:4" x14ac:dyDescent="0.2">
      <c r="D1725" s="1"/>
    </row>
    <row r="1726" spans="4:4" x14ac:dyDescent="0.2">
      <c r="D1726" s="1"/>
    </row>
    <row r="1727" spans="4:4" x14ac:dyDescent="0.2">
      <c r="D1727" s="1"/>
    </row>
    <row r="1728" spans="4:4" x14ac:dyDescent="0.2">
      <c r="D1728" s="1"/>
    </row>
    <row r="1729" spans="4:4" x14ac:dyDescent="0.2">
      <c r="D1729" s="1"/>
    </row>
    <row r="1730" spans="4:4" x14ac:dyDescent="0.2">
      <c r="D1730" s="1"/>
    </row>
    <row r="1731" spans="4:4" x14ac:dyDescent="0.2">
      <c r="D1731" s="1"/>
    </row>
    <row r="1732" spans="4:4" x14ac:dyDescent="0.2">
      <c r="D1732" s="1"/>
    </row>
    <row r="1733" spans="4:4" x14ac:dyDescent="0.2">
      <c r="D1733" s="1"/>
    </row>
    <row r="1734" spans="4:4" x14ac:dyDescent="0.2">
      <c r="D1734" s="1"/>
    </row>
    <row r="1735" spans="4:4" x14ac:dyDescent="0.2">
      <c r="D1735" s="1"/>
    </row>
    <row r="1737" spans="4:4" x14ac:dyDescent="0.2">
      <c r="D1737" s="1"/>
    </row>
    <row r="1738" spans="4:4" x14ac:dyDescent="0.2">
      <c r="D1738" s="1"/>
    </row>
    <row r="1739" spans="4:4" x14ac:dyDescent="0.2">
      <c r="D1739" s="1"/>
    </row>
    <row r="1740" spans="4:4" x14ac:dyDescent="0.2">
      <c r="D1740" s="1"/>
    </row>
    <row r="1741" spans="4:4" x14ac:dyDescent="0.2">
      <c r="D1741" s="1"/>
    </row>
    <row r="1742" spans="4:4" x14ac:dyDescent="0.2">
      <c r="D1742" s="1"/>
    </row>
    <row r="1743" spans="4:4" x14ac:dyDescent="0.2">
      <c r="D1743" s="1"/>
    </row>
    <row r="1744" spans="4:4" x14ac:dyDescent="0.2">
      <c r="D1744" s="1"/>
    </row>
    <row r="1745" spans="4:4" x14ac:dyDescent="0.2">
      <c r="D1745" s="1"/>
    </row>
    <row r="1746" spans="4:4" x14ac:dyDescent="0.2">
      <c r="D1746" s="1"/>
    </row>
    <row r="1747" spans="4:4" x14ac:dyDescent="0.2">
      <c r="D1747" s="1"/>
    </row>
    <row r="1748" spans="4:4" x14ac:dyDescent="0.2">
      <c r="D1748" s="1"/>
    </row>
    <row r="1749" spans="4:4" x14ac:dyDescent="0.2">
      <c r="D1749" s="1"/>
    </row>
    <row r="1750" spans="4:4" x14ac:dyDescent="0.2">
      <c r="D1750" s="1"/>
    </row>
    <row r="1752" spans="4:4" x14ac:dyDescent="0.2">
      <c r="D1752" s="1"/>
    </row>
    <row r="1753" spans="4:4" x14ac:dyDescent="0.2">
      <c r="D1753" s="1"/>
    </row>
    <row r="1754" spans="4:4" x14ac:dyDescent="0.2">
      <c r="D1754" s="1"/>
    </row>
    <row r="1755" spans="4:4" x14ac:dyDescent="0.2">
      <c r="D1755" s="1"/>
    </row>
    <row r="1756" spans="4:4" x14ac:dyDescent="0.2">
      <c r="D1756" s="1"/>
    </row>
    <row r="1757" spans="4:4" x14ac:dyDescent="0.2">
      <c r="D1757" s="1"/>
    </row>
    <row r="1758" spans="4:4" x14ac:dyDescent="0.2">
      <c r="D1758" s="1"/>
    </row>
    <row r="1759" spans="4:4" x14ac:dyDescent="0.2">
      <c r="D1759" s="1"/>
    </row>
    <row r="1760" spans="4:4" x14ac:dyDescent="0.2">
      <c r="D1760" s="1"/>
    </row>
    <row r="1761" spans="4:4" x14ac:dyDescent="0.2">
      <c r="D1761" s="1"/>
    </row>
    <row r="1762" spans="4:4" x14ac:dyDescent="0.2">
      <c r="D1762" s="1"/>
    </row>
    <row r="1764" spans="4:4" x14ac:dyDescent="0.2">
      <c r="D1764" s="1"/>
    </row>
    <row r="1765" spans="4:4" x14ac:dyDescent="0.2">
      <c r="D1765" s="1"/>
    </row>
    <row r="1766" spans="4:4" x14ac:dyDescent="0.2">
      <c r="D1766" s="1"/>
    </row>
    <row r="1767" spans="4:4" x14ac:dyDescent="0.2">
      <c r="D1767" s="1"/>
    </row>
    <row r="1768" spans="4:4" x14ac:dyDescent="0.2">
      <c r="D1768" s="1"/>
    </row>
    <row r="1769" spans="4:4" x14ac:dyDescent="0.2">
      <c r="D1769" s="1"/>
    </row>
    <row r="1771" spans="4:4" x14ac:dyDescent="0.2">
      <c r="D1771" s="1"/>
    </row>
    <row r="1772" spans="4:4" x14ac:dyDescent="0.2">
      <c r="D1772" s="1"/>
    </row>
    <row r="1773" spans="4:4" x14ac:dyDescent="0.2">
      <c r="D1773" s="1"/>
    </row>
    <row r="1774" spans="4:4" x14ac:dyDescent="0.2">
      <c r="D1774" s="1"/>
    </row>
    <row r="1775" spans="4:4" x14ac:dyDescent="0.2">
      <c r="D1775" s="1"/>
    </row>
    <row r="1776" spans="4:4" x14ac:dyDescent="0.2">
      <c r="D1776" s="1"/>
    </row>
    <row r="1778" spans="4:4" x14ac:dyDescent="0.2">
      <c r="D1778" s="1"/>
    </row>
    <row r="1779" spans="4:4" x14ac:dyDescent="0.2">
      <c r="D1779" s="1"/>
    </row>
    <row r="1781" spans="4:4" x14ac:dyDescent="0.2">
      <c r="D1781" s="1"/>
    </row>
    <row r="1784" spans="4:4" x14ac:dyDescent="0.2">
      <c r="D1784" s="1"/>
    </row>
    <row r="1785" spans="4:4" x14ac:dyDescent="0.2">
      <c r="D1785" s="1"/>
    </row>
    <row r="1786" spans="4:4" x14ac:dyDescent="0.2">
      <c r="D1786" s="1"/>
    </row>
    <row r="1787" spans="4:4" x14ac:dyDescent="0.2">
      <c r="D1787" s="1"/>
    </row>
    <row r="1788" spans="4:4" x14ac:dyDescent="0.2">
      <c r="D1788" s="1"/>
    </row>
    <row r="1789" spans="4:4" x14ac:dyDescent="0.2">
      <c r="D1789" s="1"/>
    </row>
    <row r="1790" spans="4:4" x14ac:dyDescent="0.2">
      <c r="D1790" s="1"/>
    </row>
    <row r="1793" spans="4:4" x14ac:dyDescent="0.2">
      <c r="D1793" s="1"/>
    </row>
    <row r="1794" spans="4:4" x14ac:dyDescent="0.2">
      <c r="D1794" s="1"/>
    </row>
    <row r="1795" spans="4:4" x14ac:dyDescent="0.2">
      <c r="D1795" s="1"/>
    </row>
    <row r="1796" spans="4:4" x14ac:dyDescent="0.2">
      <c r="D1796" s="1"/>
    </row>
    <row r="1798" spans="4:4" x14ac:dyDescent="0.2">
      <c r="D1798" s="1"/>
    </row>
    <row r="1799" spans="4:4" x14ac:dyDescent="0.2">
      <c r="D1799" s="1"/>
    </row>
    <row r="1800" spans="4:4" x14ac:dyDescent="0.2">
      <c r="D1800" s="1"/>
    </row>
    <row r="1801" spans="4:4" x14ac:dyDescent="0.2">
      <c r="D1801" s="1"/>
    </row>
    <row r="1802" spans="4:4" x14ac:dyDescent="0.2">
      <c r="D1802" s="1"/>
    </row>
    <row r="1803" spans="4:4" x14ac:dyDescent="0.2">
      <c r="D1803" s="1"/>
    </row>
    <row r="1804" spans="4:4" x14ac:dyDescent="0.2">
      <c r="D1804" s="1"/>
    </row>
    <row r="1805" spans="4:4" x14ac:dyDescent="0.2">
      <c r="D1805" s="1"/>
    </row>
    <row r="1806" spans="4:4" x14ac:dyDescent="0.2">
      <c r="D1806" s="1"/>
    </row>
    <row r="1807" spans="4:4" x14ac:dyDescent="0.2">
      <c r="D1807" s="1"/>
    </row>
    <row r="1827" spans="4:4" x14ac:dyDescent="0.2">
      <c r="D1827" s="1"/>
    </row>
    <row r="2030" spans="4:4" x14ac:dyDescent="0.2">
      <c r="D2030" s="1"/>
    </row>
    <row r="2033" spans="4:4" x14ac:dyDescent="0.2">
      <c r="D2033" s="1"/>
    </row>
    <row r="2034" spans="4:4" x14ac:dyDescent="0.2">
      <c r="D2034" s="1"/>
    </row>
    <row r="2037" spans="4:4" x14ac:dyDescent="0.2">
      <c r="D2037" s="1"/>
    </row>
    <row r="2041" spans="4:4" x14ac:dyDescent="0.2">
      <c r="D2041" s="1"/>
    </row>
    <row r="2045" spans="4:4" x14ac:dyDescent="0.2">
      <c r="D2045" s="1"/>
    </row>
    <row r="2049" spans="4:4" x14ac:dyDescent="0.2">
      <c r="D2049" s="1"/>
    </row>
    <row r="2051" spans="4:4" x14ac:dyDescent="0.2">
      <c r="D2051" s="1"/>
    </row>
    <row r="2055" spans="4:4" x14ac:dyDescent="0.2">
      <c r="D2055" s="1"/>
    </row>
    <row r="2056" spans="4:4" x14ac:dyDescent="0.2">
      <c r="D2056" s="1"/>
    </row>
    <row r="2057" spans="4:4" x14ac:dyDescent="0.2">
      <c r="D2057" s="1"/>
    </row>
    <row r="2059" spans="4:4" x14ac:dyDescent="0.2">
      <c r="D2059" s="1"/>
    </row>
    <row r="2060" spans="4:4" x14ac:dyDescent="0.2">
      <c r="D2060" s="1"/>
    </row>
    <row r="2061" spans="4:4" x14ac:dyDescent="0.2">
      <c r="D2061" s="1"/>
    </row>
    <row r="2062" spans="4:4" x14ac:dyDescent="0.2">
      <c r="D2062" s="1"/>
    </row>
    <row r="2063" spans="4:4" x14ac:dyDescent="0.2">
      <c r="D2063" s="1"/>
    </row>
    <row r="2066" spans="4:4" x14ac:dyDescent="0.2">
      <c r="D2066" s="1"/>
    </row>
    <row r="2067" spans="4:4" x14ac:dyDescent="0.2">
      <c r="D2067" s="1"/>
    </row>
    <row r="2068" spans="4:4" x14ac:dyDescent="0.2">
      <c r="D2068" s="1"/>
    </row>
    <row r="2069" spans="4:4" x14ac:dyDescent="0.2">
      <c r="D2069" s="1"/>
    </row>
    <row r="2070" spans="4:4" x14ac:dyDescent="0.2">
      <c r="D2070" s="1"/>
    </row>
    <row r="2071" spans="4:4" x14ac:dyDescent="0.2">
      <c r="D2071" s="1"/>
    </row>
    <row r="2072" spans="4:4" x14ac:dyDescent="0.2">
      <c r="D2072" s="1"/>
    </row>
    <row r="2073" spans="4:4" x14ac:dyDescent="0.2">
      <c r="D2073" s="1"/>
    </row>
    <row r="2074" spans="4:4" x14ac:dyDescent="0.2">
      <c r="D2074" s="1"/>
    </row>
    <row r="2075" spans="4:4" x14ac:dyDescent="0.2">
      <c r="D2075" s="1"/>
    </row>
    <row r="2076" spans="4:4" x14ac:dyDescent="0.2">
      <c r="D2076" s="1"/>
    </row>
    <row r="2077" spans="4:4" x14ac:dyDescent="0.2">
      <c r="D2077" s="1"/>
    </row>
    <row r="2078" spans="4:4" x14ac:dyDescent="0.2">
      <c r="D2078" s="1"/>
    </row>
    <row r="2079" spans="4:4" x14ac:dyDescent="0.2">
      <c r="D2079" s="1"/>
    </row>
    <row r="2080" spans="4:4" x14ac:dyDescent="0.2">
      <c r="D2080" s="1"/>
    </row>
    <row r="2081" spans="4:4" x14ac:dyDescent="0.2">
      <c r="D2081" s="1"/>
    </row>
    <row r="2082" spans="4:4" x14ac:dyDescent="0.2">
      <c r="D2082" s="1"/>
    </row>
    <row r="2083" spans="4:4" x14ac:dyDescent="0.2">
      <c r="D2083" s="1"/>
    </row>
    <row r="2085" spans="4:4" x14ac:dyDescent="0.2">
      <c r="D2085" s="1"/>
    </row>
    <row r="2086" spans="4:4" x14ac:dyDescent="0.2">
      <c r="D2086" s="1"/>
    </row>
    <row r="2087" spans="4:4" x14ac:dyDescent="0.2">
      <c r="D2087" s="1"/>
    </row>
    <row r="2088" spans="4:4" x14ac:dyDescent="0.2">
      <c r="D2088" s="1"/>
    </row>
    <row r="2089" spans="4:4" x14ac:dyDescent="0.2">
      <c r="D2089" s="1"/>
    </row>
    <row r="2090" spans="4:4" x14ac:dyDescent="0.2">
      <c r="D2090" s="1"/>
    </row>
    <row r="2091" spans="4:4" x14ac:dyDescent="0.2">
      <c r="D2091" s="1"/>
    </row>
    <row r="2092" spans="4:4" x14ac:dyDescent="0.2">
      <c r="D2092" s="1"/>
    </row>
    <row r="2093" spans="4:4" x14ac:dyDescent="0.2">
      <c r="D2093" s="1"/>
    </row>
    <row r="2094" spans="4:4" x14ac:dyDescent="0.2">
      <c r="D2094" s="1"/>
    </row>
    <row r="2095" spans="4:4" x14ac:dyDescent="0.2">
      <c r="D2095" s="1"/>
    </row>
    <row r="2096" spans="4:4" x14ac:dyDescent="0.2">
      <c r="D2096" s="1"/>
    </row>
    <row r="2098" spans="4:4" x14ac:dyDescent="0.2">
      <c r="D2098" s="1"/>
    </row>
    <row r="2099" spans="4:4" x14ac:dyDescent="0.2">
      <c r="D2099" s="1"/>
    </row>
    <row r="2100" spans="4:4" x14ac:dyDescent="0.2">
      <c r="D2100" s="1"/>
    </row>
    <row r="2101" spans="4:4" x14ac:dyDescent="0.2">
      <c r="D2101" s="1"/>
    </row>
    <row r="2103" spans="4:4" x14ac:dyDescent="0.2">
      <c r="D2103" s="1"/>
    </row>
    <row r="2104" spans="4:4" x14ac:dyDescent="0.2">
      <c r="D2104" s="1"/>
    </row>
    <row r="2106" spans="4:4" x14ac:dyDescent="0.2">
      <c r="D2106" s="1"/>
    </row>
    <row r="2107" spans="4:4" x14ac:dyDescent="0.2">
      <c r="D2107" s="1"/>
    </row>
    <row r="2108" spans="4:4" x14ac:dyDescent="0.2">
      <c r="D2108" s="1"/>
    </row>
    <row r="2109" spans="4:4" x14ac:dyDescent="0.2">
      <c r="D2109" s="1"/>
    </row>
    <row r="2110" spans="4:4" x14ac:dyDescent="0.2">
      <c r="D2110" s="1"/>
    </row>
    <row r="2113" spans="4:4" x14ac:dyDescent="0.2">
      <c r="D2113" s="1"/>
    </row>
    <row r="2114" spans="4:4" x14ac:dyDescent="0.2">
      <c r="D2114" s="1"/>
    </row>
    <row r="2115" spans="4:4" x14ac:dyDescent="0.2">
      <c r="D2115" s="1"/>
    </row>
    <row r="2116" spans="4:4" x14ac:dyDescent="0.2">
      <c r="D2116" s="1"/>
    </row>
    <row r="2117" spans="4:4" x14ac:dyDescent="0.2">
      <c r="D2117" s="1"/>
    </row>
    <row r="2118" spans="4:4" x14ac:dyDescent="0.2">
      <c r="D2118" s="1"/>
    </row>
    <row r="2119" spans="4:4" x14ac:dyDescent="0.2">
      <c r="D2119" s="1"/>
    </row>
    <row r="2120" spans="4:4" x14ac:dyDescent="0.2">
      <c r="D2120" s="1"/>
    </row>
    <row r="2121" spans="4:4" x14ac:dyDescent="0.2">
      <c r="D2121" s="1"/>
    </row>
    <row r="2122" spans="4:4" x14ac:dyDescent="0.2">
      <c r="D2122" s="1"/>
    </row>
    <row r="2123" spans="4:4" x14ac:dyDescent="0.2">
      <c r="D2123" s="1"/>
    </row>
    <row r="2124" spans="4:4" x14ac:dyDescent="0.2">
      <c r="D2124" s="1"/>
    </row>
    <row r="2125" spans="4:4" x14ac:dyDescent="0.2">
      <c r="D2125" s="1"/>
    </row>
    <row r="2126" spans="4:4" x14ac:dyDescent="0.2">
      <c r="D2126" s="1"/>
    </row>
    <row r="2127" spans="4:4" x14ac:dyDescent="0.2">
      <c r="D2127" s="1"/>
    </row>
    <row r="2128" spans="4:4" x14ac:dyDescent="0.2">
      <c r="D2128" s="1"/>
    </row>
    <row r="2129" spans="4:4" x14ac:dyDescent="0.2">
      <c r="D2129" s="1"/>
    </row>
    <row r="2130" spans="4:4" x14ac:dyDescent="0.2">
      <c r="D2130" s="1"/>
    </row>
    <row r="2131" spans="4:4" x14ac:dyDescent="0.2">
      <c r="D2131" s="1"/>
    </row>
    <row r="2133" spans="4:4" x14ac:dyDescent="0.2">
      <c r="D2133" s="1"/>
    </row>
    <row r="2134" spans="4:4" x14ac:dyDescent="0.2">
      <c r="D2134" s="1"/>
    </row>
    <row r="2135" spans="4:4" x14ac:dyDescent="0.2">
      <c r="D2135" s="1"/>
    </row>
    <row r="2136" spans="4:4" x14ac:dyDescent="0.2">
      <c r="D2136" s="1"/>
    </row>
    <row r="2137" spans="4:4" x14ac:dyDescent="0.2">
      <c r="D2137" s="1"/>
    </row>
    <row r="2138" spans="4:4" x14ac:dyDescent="0.2">
      <c r="D2138" s="1"/>
    </row>
    <row r="2139" spans="4:4" x14ac:dyDescent="0.2">
      <c r="D2139" s="1"/>
    </row>
    <row r="2140" spans="4:4" x14ac:dyDescent="0.2">
      <c r="D2140" s="1"/>
    </row>
    <row r="2141" spans="4:4" x14ac:dyDescent="0.2">
      <c r="D2141" s="1"/>
    </row>
    <row r="2142" spans="4:4" x14ac:dyDescent="0.2">
      <c r="D2142" s="1"/>
    </row>
    <row r="2143" spans="4:4" x14ac:dyDescent="0.2">
      <c r="D2143" s="1"/>
    </row>
    <row r="2144" spans="4:4" x14ac:dyDescent="0.2">
      <c r="D2144" s="1"/>
    </row>
    <row r="2145" spans="4:4" x14ac:dyDescent="0.2">
      <c r="D2145" s="1"/>
    </row>
    <row r="2146" spans="4:4" x14ac:dyDescent="0.2">
      <c r="D2146" s="1"/>
    </row>
    <row r="2147" spans="4:4" x14ac:dyDescent="0.2">
      <c r="D2147" s="1"/>
    </row>
    <row r="2148" spans="4:4" x14ac:dyDescent="0.2">
      <c r="D2148" s="1"/>
    </row>
    <row r="2149" spans="4:4" x14ac:dyDescent="0.2">
      <c r="D2149" s="1"/>
    </row>
    <row r="2150" spans="4:4" x14ac:dyDescent="0.2">
      <c r="D2150" s="1"/>
    </row>
    <row r="2151" spans="4:4" x14ac:dyDescent="0.2">
      <c r="D2151" s="1"/>
    </row>
    <row r="2152" spans="4:4" x14ac:dyDescent="0.2">
      <c r="D2152" s="1"/>
    </row>
    <row r="2153" spans="4:4" x14ac:dyDescent="0.2">
      <c r="D2153" s="1"/>
    </row>
    <row r="2154" spans="4:4" x14ac:dyDescent="0.2">
      <c r="D2154" s="1"/>
    </row>
    <row r="2155" spans="4:4" x14ac:dyDescent="0.2">
      <c r="D2155" s="1"/>
    </row>
    <row r="2156" spans="4:4" x14ac:dyDescent="0.2">
      <c r="D2156" s="1"/>
    </row>
    <row r="2157" spans="4:4" x14ac:dyDescent="0.2">
      <c r="D2157" s="1"/>
    </row>
    <row r="2158" spans="4:4" x14ac:dyDescent="0.2">
      <c r="D2158" s="1"/>
    </row>
    <row r="2159" spans="4:4" x14ac:dyDescent="0.2">
      <c r="D2159" s="1"/>
    </row>
    <row r="2160" spans="4:4" x14ac:dyDescent="0.2">
      <c r="D2160" s="1"/>
    </row>
    <row r="2161" spans="4:4" x14ac:dyDescent="0.2">
      <c r="D2161" s="1"/>
    </row>
    <row r="2162" spans="4:4" x14ac:dyDescent="0.2">
      <c r="D2162" s="1"/>
    </row>
    <row r="2163" spans="4:4" x14ac:dyDescent="0.2">
      <c r="D2163" s="1"/>
    </row>
    <row r="2164" spans="4:4" x14ac:dyDescent="0.2">
      <c r="D2164" s="1"/>
    </row>
    <row r="2165" spans="4:4" x14ac:dyDescent="0.2">
      <c r="D2165" s="1"/>
    </row>
    <row r="2166" spans="4:4" x14ac:dyDescent="0.2">
      <c r="D2166" s="1"/>
    </row>
    <row r="2167" spans="4:4" x14ac:dyDescent="0.2">
      <c r="D2167" s="1"/>
    </row>
    <row r="2168" spans="4:4" x14ac:dyDescent="0.2">
      <c r="D2168" s="1"/>
    </row>
    <row r="2169" spans="4:4" x14ac:dyDescent="0.2">
      <c r="D2169" s="1"/>
    </row>
    <row r="2170" spans="4:4" x14ac:dyDescent="0.2">
      <c r="D2170" s="1"/>
    </row>
    <row r="2171" spans="4:4" x14ac:dyDescent="0.2">
      <c r="D2171" s="1"/>
    </row>
    <row r="2172" spans="4:4" x14ac:dyDescent="0.2">
      <c r="D2172" s="1"/>
    </row>
    <row r="2173" spans="4:4" x14ac:dyDescent="0.2">
      <c r="D2173" s="1"/>
    </row>
    <row r="2174" spans="4:4" x14ac:dyDescent="0.2">
      <c r="D2174" s="1"/>
    </row>
    <row r="2175" spans="4:4" x14ac:dyDescent="0.2">
      <c r="D2175" s="1"/>
    </row>
    <row r="2176" spans="4:4" x14ac:dyDescent="0.2">
      <c r="D2176" s="1"/>
    </row>
    <row r="2177" spans="4:4" x14ac:dyDescent="0.2">
      <c r="D2177" s="1"/>
    </row>
    <row r="2178" spans="4:4" x14ac:dyDescent="0.2">
      <c r="D2178" s="1"/>
    </row>
    <row r="2179" spans="4:4" x14ac:dyDescent="0.2">
      <c r="D2179" s="1"/>
    </row>
    <row r="2180" spans="4:4" x14ac:dyDescent="0.2">
      <c r="D2180" s="1"/>
    </row>
    <row r="2181" spans="4:4" x14ac:dyDescent="0.2">
      <c r="D2181" s="1"/>
    </row>
    <row r="2182" spans="4:4" x14ac:dyDescent="0.2">
      <c r="D2182" s="1"/>
    </row>
    <row r="2183" spans="4:4" x14ac:dyDescent="0.2">
      <c r="D2183" s="1"/>
    </row>
    <row r="2184" spans="4:4" x14ac:dyDescent="0.2">
      <c r="D2184" s="1"/>
    </row>
    <row r="2185" spans="4:4" x14ac:dyDescent="0.2">
      <c r="D2185" s="1"/>
    </row>
    <row r="2186" spans="4:4" x14ac:dyDescent="0.2">
      <c r="D2186" s="1"/>
    </row>
    <row r="2187" spans="4:4" x14ac:dyDescent="0.2">
      <c r="D2187" s="1"/>
    </row>
    <row r="2188" spans="4:4" x14ac:dyDescent="0.2">
      <c r="D2188" s="1"/>
    </row>
    <row r="2189" spans="4:4" x14ac:dyDescent="0.2">
      <c r="D2189" s="1"/>
    </row>
    <row r="2190" spans="4:4" x14ac:dyDescent="0.2">
      <c r="D2190" s="1"/>
    </row>
    <row r="2191" spans="4:4" x14ac:dyDescent="0.2">
      <c r="D2191" s="1"/>
    </row>
    <row r="2192" spans="4:4" x14ac:dyDescent="0.2">
      <c r="D2192" s="1"/>
    </row>
    <row r="2193" spans="4:4" x14ac:dyDescent="0.2">
      <c r="D2193" s="1"/>
    </row>
    <row r="2194" spans="4:4" x14ac:dyDescent="0.2">
      <c r="D2194" s="1"/>
    </row>
    <row r="2195" spans="4:4" x14ac:dyDescent="0.2">
      <c r="D2195" s="1"/>
    </row>
    <row r="2196" spans="4:4" x14ac:dyDescent="0.2">
      <c r="D2196" s="1"/>
    </row>
    <row r="2197" spans="4:4" x14ac:dyDescent="0.2">
      <c r="D2197" s="1"/>
    </row>
    <row r="2198" spans="4:4" x14ac:dyDescent="0.2">
      <c r="D2198" s="1"/>
    </row>
    <row r="2199" spans="4:4" x14ac:dyDescent="0.2">
      <c r="D2199" s="1"/>
    </row>
    <row r="2200" spans="4:4" x14ac:dyDescent="0.2">
      <c r="D2200" s="1"/>
    </row>
    <row r="2201" spans="4:4" x14ac:dyDescent="0.2">
      <c r="D2201" s="1"/>
    </row>
    <row r="2202" spans="4:4" x14ac:dyDescent="0.2">
      <c r="D2202" s="1"/>
    </row>
    <row r="2203" spans="4:4" x14ac:dyDescent="0.2">
      <c r="D2203" s="1"/>
    </row>
    <row r="2204" spans="4:4" x14ac:dyDescent="0.2">
      <c r="D2204" s="1"/>
    </row>
    <row r="2205" spans="4:4" x14ac:dyDescent="0.2">
      <c r="D2205" s="1"/>
    </row>
    <row r="2206" spans="4:4" x14ac:dyDescent="0.2">
      <c r="D2206" s="1"/>
    </row>
    <row r="2207" spans="4:4" x14ac:dyDescent="0.2">
      <c r="D2207" s="1"/>
    </row>
    <row r="2208" spans="4:4" x14ac:dyDescent="0.2">
      <c r="D2208" s="1"/>
    </row>
    <row r="2209" spans="4:4" x14ac:dyDescent="0.2">
      <c r="D2209" s="1"/>
    </row>
    <row r="2210" spans="4:4" x14ac:dyDescent="0.2">
      <c r="D2210" s="1"/>
    </row>
    <row r="2211" spans="4:4" x14ac:dyDescent="0.2">
      <c r="D2211" s="1"/>
    </row>
    <row r="2212" spans="4:4" x14ac:dyDescent="0.2">
      <c r="D2212" s="1"/>
    </row>
    <row r="2213" spans="4:4" x14ac:dyDescent="0.2">
      <c r="D2213" s="1"/>
    </row>
    <row r="2214" spans="4:4" x14ac:dyDescent="0.2">
      <c r="D2214" s="1"/>
    </row>
    <row r="2215" spans="4:4" x14ac:dyDescent="0.2">
      <c r="D2215" s="1"/>
    </row>
    <row r="2216" spans="4:4" x14ac:dyDescent="0.2">
      <c r="D2216" s="1"/>
    </row>
    <row r="2217" spans="4:4" x14ac:dyDescent="0.2">
      <c r="D2217" s="1"/>
    </row>
    <row r="2218" spans="4:4" x14ac:dyDescent="0.2">
      <c r="D2218" s="1"/>
    </row>
    <row r="2219" spans="4:4" x14ac:dyDescent="0.2">
      <c r="D2219" s="1"/>
    </row>
    <row r="2220" spans="4:4" x14ac:dyDescent="0.2">
      <c r="D2220" s="1"/>
    </row>
    <row r="2221" spans="4:4" x14ac:dyDescent="0.2">
      <c r="D2221" s="1"/>
    </row>
    <row r="2222" spans="4:4" x14ac:dyDescent="0.2">
      <c r="D2222" s="1"/>
    </row>
    <row r="2223" spans="4:4" x14ac:dyDescent="0.2">
      <c r="D2223" s="1"/>
    </row>
    <row r="2224" spans="4:4" x14ac:dyDescent="0.2">
      <c r="D2224" s="1"/>
    </row>
    <row r="2225" spans="4:4" x14ac:dyDescent="0.2">
      <c r="D2225" s="1"/>
    </row>
    <row r="2226" spans="4:4" x14ac:dyDescent="0.2">
      <c r="D2226" s="1"/>
    </row>
    <row r="2227" spans="4:4" x14ac:dyDescent="0.2">
      <c r="D2227" s="1"/>
    </row>
    <row r="2228" spans="4:4" x14ac:dyDescent="0.2">
      <c r="D2228" s="1"/>
    </row>
    <row r="2229" spans="4:4" x14ac:dyDescent="0.2">
      <c r="D2229" s="1"/>
    </row>
    <row r="2230" spans="4:4" x14ac:dyDescent="0.2">
      <c r="D2230" s="1"/>
    </row>
    <row r="2231" spans="4:4" x14ac:dyDescent="0.2">
      <c r="D2231" s="1"/>
    </row>
    <row r="2232" spans="4:4" x14ac:dyDescent="0.2">
      <c r="D2232" s="1"/>
    </row>
    <row r="2233" spans="4:4" x14ac:dyDescent="0.2">
      <c r="D2233" s="1"/>
    </row>
    <row r="2234" spans="4:4" x14ac:dyDescent="0.2">
      <c r="D2234" s="1"/>
    </row>
    <row r="2235" spans="4:4" x14ac:dyDescent="0.2">
      <c r="D2235" s="1"/>
    </row>
    <row r="2236" spans="4:4" x14ac:dyDescent="0.2">
      <c r="D2236" s="1"/>
    </row>
    <row r="2237" spans="4:4" x14ac:dyDescent="0.2">
      <c r="D2237" s="1"/>
    </row>
    <row r="2238" spans="4:4" x14ac:dyDescent="0.2">
      <c r="D2238" s="1"/>
    </row>
    <row r="2239" spans="4:4" x14ac:dyDescent="0.2">
      <c r="D2239" s="1"/>
    </row>
    <row r="2240" spans="4:4" x14ac:dyDescent="0.2">
      <c r="D2240" s="1"/>
    </row>
    <row r="2241" spans="4:4" x14ac:dyDescent="0.2">
      <c r="D2241" s="1"/>
    </row>
    <row r="2242" spans="4:4" x14ac:dyDescent="0.2">
      <c r="D2242" s="1"/>
    </row>
    <row r="2243" spans="4:4" x14ac:dyDescent="0.2">
      <c r="D2243" s="1"/>
    </row>
    <row r="2244" spans="4:4" x14ac:dyDescent="0.2">
      <c r="D2244" s="1"/>
    </row>
    <row r="2245" spans="4:4" x14ac:dyDescent="0.2">
      <c r="D2245" s="1"/>
    </row>
    <row r="2246" spans="4:4" x14ac:dyDescent="0.2">
      <c r="D2246" s="1"/>
    </row>
    <row r="2247" spans="4:4" x14ac:dyDescent="0.2">
      <c r="D2247" s="1"/>
    </row>
    <row r="2248" spans="4:4" x14ac:dyDescent="0.2">
      <c r="D2248" s="1"/>
    </row>
    <row r="2249" spans="4:4" x14ac:dyDescent="0.2">
      <c r="D2249" s="1"/>
    </row>
    <row r="2250" spans="4:4" x14ac:dyDescent="0.2">
      <c r="D2250" s="1"/>
    </row>
    <row r="2251" spans="4:4" x14ac:dyDescent="0.2">
      <c r="D2251" s="1"/>
    </row>
    <row r="2252" spans="4:4" x14ac:dyDescent="0.2">
      <c r="D2252" s="1"/>
    </row>
    <row r="2253" spans="4:4" x14ac:dyDescent="0.2">
      <c r="D2253" s="1"/>
    </row>
    <row r="2254" spans="4:4" x14ac:dyDescent="0.2">
      <c r="D2254" s="1"/>
    </row>
    <row r="2255" spans="4:4" x14ac:dyDescent="0.2">
      <c r="D2255" s="1"/>
    </row>
    <row r="2256" spans="4:4" x14ac:dyDescent="0.2">
      <c r="D2256" s="1"/>
    </row>
    <row r="2257" spans="4:4" x14ac:dyDescent="0.2">
      <c r="D2257" s="1"/>
    </row>
    <row r="2258" spans="4:4" x14ac:dyDescent="0.2">
      <c r="D2258" s="1"/>
    </row>
    <row r="2259" spans="4:4" x14ac:dyDescent="0.2">
      <c r="D2259" s="1"/>
    </row>
    <row r="2260" spans="4:4" x14ac:dyDescent="0.2">
      <c r="D2260" s="1"/>
    </row>
    <row r="2261" spans="4:4" x14ac:dyDescent="0.2">
      <c r="D2261" s="1"/>
    </row>
    <row r="2262" spans="4:4" x14ac:dyDescent="0.2">
      <c r="D2262" s="1"/>
    </row>
    <row r="2263" spans="4:4" x14ac:dyDescent="0.2">
      <c r="D2263" s="1"/>
    </row>
    <row r="2264" spans="4:4" x14ac:dyDescent="0.2">
      <c r="D2264" s="1"/>
    </row>
    <row r="2265" spans="4:4" x14ac:dyDescent="0.2">
      <c r="D2265" s="1"/>
    </row>
    <row r="2266" spans="4:4" x14ac:dyDescent="0.2">
      <c r="D2266" s="1"/>
    </row>
    <row r="2267" spans="4:4" x14ac:dyDescent="0.2">
      <c r="D2267" s="1"/>
    </row>
    <row r="2268" spans="4:4" x14ac:dyDescent="0.2">
      <c r="D2268" s="1"/>
    </row>
    <row r="2269" spans="4:4" x14ac:dyDescent="0.2">
      <c r="D2269" s="1"/>
    </row>
    <row r="2270" spans="4:4" x14ac:dyDescent="0.2">
      <c r="D2270" s="1"/>
    </row>
    <row r="2271" spans="4:4" x14ac:dyDescent="0.2">
      <c r="D2271" s="1"/>
    </row>
    <row r="2272" spans="4:4" x14ac:dyDescent="0.2">
      <c r="D2272" s="1"/>
    </row>
    <row r="2273" spans="4:4" x14ac:dyDescent="0.2">
      <c r="D2273" s="1"/>
    </row>
    <row r="2274" spans="4:4" x14ac:dyDescent="0.2">
      <c r="D2274" s="1"/>
    </row>
    <row r="2275" spans="4:4" x14ac:dyDescent="0.2">
      <c r="D2275" s="1"/>
    </row>
    <row r="2276" spans="4:4" x14ac:dyDescent="0.2">
      <c r="D2276" s="1"/>
    </row>
    <row r="2277" spans="4:4" x14ac:dyDescent="0.2">
      <c r="D2277" s="1"/>
    </row>
    <row r="2278" spans="4:4" x14ac:dyDescent="0.2">
      <c r="D2278" s="1"/>
    </row>
    <row r="2279" spans="4:4" x14ac:dyDescent="0.2">
      <c r="D2279" s="1"/>
    </row>
    <row r="2280" spans="4:4" x14ac:dyDescent="0.2">
      <c r="D2280" s="1"/>
    </row>
    <row r="2281" spans="4:4" x14ac:dyDescent="0.2">
      <c r="D2281" s="1"/>
    </row>
    <row r="2282" spans="4:4" x14ac:dyDescent="0.2">
      <c r="D2282" s="1"/>
    </row>
    <row r="2283" spans="4:4" x14ac:dyDescent="0.2">
      <c r="D2283" s="1"/>
    </row>
    <row r="2284" spans="4:4" x14ac:dyDescent="0.2">
      <c r="D2284" s="1"/>
    </row>
    <row r="2285" spans="4:4" x14ac:dyDescent="0.2">
      <c r="D2285" s="1"/>
    </row>
    <row r="2286" spans="4:4" x14ac:dyDescent="0.2">
      <c r="D2286" s="1"/>
    </row>
    <row r="2287" spans="4:4" x14ac:dyDescent="0.2">
      <c r="D2287" s="1"/>
    </row>
    <row r="2288" spans="4:4" x14ac:dyDescent="0.2">
      <c r="D2288" s="1"/>
    </row>
    <row r="2289" spans="4:4" x14ac:dyDescent="0.2">
      <c r="D2289" s="1"/>
    </row>
    <row r="2290" spans="4:4" x14ac:dyDescent="0.2">
      <c r="D2290" s="1"/>
    </row>
    <row r="2291" spans="4:4" x14ac:dyDescent="0.2">
      <c r="D2291" s="1"/>
    </row>
    <row r="2292" spans="4:4" x14ac:dyDescent="0.2">
      <c r="D2292" s="1"/>
    </row>
    <row r="2293" spans="4:4" x14ac:dyDescent="0.2">
      <c r="D2293" s="1"/>
    </row>
    <row r="2294" spans="4:4" x14ac:dyDescent="0.2">
      <c r="D2294" s="1"/>
    </row>
    <row r="2295" spans="4:4" x14ac:dyDescent="0.2">
      <c r="D2295" s="1"/>
    </row>
    <row r="2296" spans="4:4" x14ac:dyDescent="0.2">
      <c r="D2296" s="1"/>
    </row>
    <row r="2297" spans="4:4" x14ac:dyDescent="0.2">
      <c r="D2297" s="1"/>
    </row>
    <row r="2298" spans="4:4" x14ac:dyDescent="0.2">
      <c r="D2298" s="1"/>
    </row>
    <row r="2299" spans="4:4" x14ac:dyDescent="0.2">
      <c r="D2299" s="1"/>
    </row>
    <row r="2300" spans="4:4" x14ac:dyDescent="0.2">
      <c r="D2300" s="1"/>
    </row>
    <row r="2301" spans="4:4" x14ac:dyDescent="0.2">
      <c r="D2301" s="1"/>
    </row>
    <row r="2302" spans="4:4" x14ac:dyDescent="0.2">
      <c r="D2302" s="1"/>
    </row>
    <row r="2303" spans="4:4" x14ac:dyDescent="0.2">
      <c r="D2303" s="1"/>
    </row>
    <row r="2304" spans="4:4" x14ac:dyDescent="0.2">
      <c r="D2304" s="1"/>
    </row>
    <row r="2305" spans="4:4" x14ac:dyDescent="0.2">
      <c r="D2305" s="1"/>
    </row>
    <row r="2306" spans="4:4" x14ac:dyDescent="0.2">
      <c r="D2306" s="1"/>
    </row>
    <row r="2307" spans="4:4" x14ac:dyDescent="0.2">
      <c r="D2307" s="1"/>
    </row>
    <row r="2308" spans="4:4" x14ac:dyDescent="0.2">
      <c r="D2308" s="1"/>
    </row>
    <row r="2309" spans="4:4" x14ac:dyDescent="0.2">
      <c r="D2309" s="1"/>
    </row>
    <row r="2310" spans="4:4" x14ac:dyDescent="0.2">
      <c r="D2310" s="1"/>
    </row>
    <row r="2311" spans="4:4" x14ac:dyDescent="0.2">
      <c r="D2311" s="1"/>
    </row>
    <row r="2312" spans="4:4" x14ac:dyDescent="0.2">
      <c r="D2312" s="1"/>
    </row>
    <row r="2313" spans="4:4" x14ac:dyDescent="0.2">
      <c r="D2313" s="1"/>
    </row>
    <row r="2314" spans="4:4" x14ac:dyDescent="0.2">
      <c r="D2314" s="1"/>
    </row>
    <row r="2315" spans="4:4" x14ac:dyDescent="0.2">
      <c r="D2315" s="1"/>
    </row>
    <row r="2316" spans="4:4" x14ac:dyDescent="0.2">
      <c r="D2316" s="1"/>
    </row>
    <row r="2317" spans="4:4" x14ac:dyDescent="0.2">
      <c r="D2317" s="1"/>
    </row>
    <row r="2318" spans="4:4" x14ac:dyDescent="0.2">
      <c r="D2318" s="1"/>
    </row>
    <row r="2319" spans="4:4" x14ac:dyDescent="0.2">
      <c r="D2319" s="1"/>
    </row>
    <row r="2320" spans="4:4" x14ac:dyDescent="0.2">
      <c r="D2320" s="1"/>
    </row>
    <row r="2321" spans="4:4" x14ac:dyDescent="0.2">
      <c r="D2321" s="1"/>
    </row>
    <row r="2322" spans="4:4" x14ac:dyDescent="0.2">
      <c r="D2322" s="1"/>
    </row>
    <row r="2323" spans="4:4" x14ac:dyDescent="0.2">
      <c r="D2323" s="1"/>
    </row>
    <row r="2324" spans="4:4" x14ac:dyDescent="0.2">
      <c r="D2324" s="1"/>
    </row>
    <row r="2325" spans="4:4" x14ac:dyDescent="0.2">
      <c r="D2325" s="1"/>
    </row>
    <row r="2326" spans="4:4" x14ac:dyDescent="0.2">
      <c r="D2326" s="1"/>
    </row>
    <row r="2327" spans="4:4" x14ac:dyDescent="0.2">
      <c r="D2327" s="1"/>
    </row>
    <row r="2328" spans="4:4" x14ac:dyDescent="0.2">
      <c r="D2328" s="1"/>
    </row>
    <row r="2329" spans="4:4" x14ac:dyDescent="0.2">
      <c r="D2329" s="1"/>
    </row>
    <row r="2330" spans="4:4" x14ac:dyDescent="0.2">
      <c r="D2330" s="1"/>
    </row>
    <row r="2331" spans="4:4" x14ac:dyDescent="0.2">
      <c r="D2331" s="1"/>
    </row>
    <row r="2332" spans="4:4" x14ac:dyDescent="0.2">
      <c r="D2332" s="1"/>
    </row>
    <row r="2333" spans="4:4" x14ac:dyDescent="0.2">
      <c r="D2333" s="1"/>
    </row>
    <row r="2334" spans="4:4" x14ac:dyDescent="0.2">
      <c r="D2334" s="1"/>
    </row>
    <row r="2335" spans="4:4" x14ac:dyDescent="0.2">
      <c r="D2335" s="1"/>
    </row>
    <row r="2336" spans="4:4" x14ac:dyDescent="0.2">
      <c r="D2336" s="1"/>
    </row>
    <row r="2337" spans="4:4" x14ac:dyDescent="0.2">
      <c r="D2337" s="1"/>
    </row>
    <row r="2338" spans="4:4" x14ac:dyDescent="0.2">
      <c r="D2338" s="1"/>
    </row>
    <row r="2339" spans="4:4" x14ac:dyDescent="0.2">
      <c r="D2339" s="1"/>
    </row>
    <row r="2340" spans="4:4" x14ac:dyDescent="0.2">
      <c r="D2340" s="1"/>
    </row>
    <row r="2341" spans="4:4" x14ac:dyDescent="0.2">
      <c r="D2341" s="1"/>
    </row>
    <row r="2342" spans="4:4" x14ac:dyDescent="0.2">
      <c r="D2342" s="1"/>
    </row>
    <row r="2343" spans="4:4" x14ac:dyDescent="0.2">
      <c r="D2343" s="1"/>
    </row>
    <row r="2344" spans="4:4" x14ac:dyDescent="0.2">
      <c r="D2344" s="1"/>
    </row>
    <row r="2345" spans="4:4" x14ac:dyDescent="0.2">
      <c r="D2345" s="1"/>
    </row>
    <row r="2346" spans="4:4" x14ac:dyDescent="0.2">
      <c r="D2346" s="1"/>
    </row>
    <row r="2347" spans="4:4" x14ac:dyDescent="0.2">
      <c r="D2347" s="1"/>
    </row>
    <row r="2348" spans="4:4" x14ac:dyDescent="0.2">
      <c r="D2348" s="1"/>
    </row>
    <row r="2349" spans="4:4" x14ac:dyDescent="0.2">
      <c r="D2349" s="1"/>
    </row>
    <row r="2350" spans="4:4" x14ac:dyDescent="0.2">
      <c r="D2350" s="1"/>
    </row>
    <row r="2351" spans="4:4" x14ac:dyDescent="0.2">
      <c r="D2351" s="1"/>
    </row>
    <row r="2352" spans="4:4" x14ac:dyDescent="0.2">
      <c r="D2352" s="1"/>
    </row>
    <row r="2353" spans="4:4" x14ac:dyDescent="0.2">
      <c r="D2353" s="1"/>
    </row>
    <row r="2354" spans="4:4" x14ac:dyDescent="0.2">
      <c r="D2354" s="1"/>
    </row>
    <row r="2355" spans="4:4" x14ac:dyDescent="0.2">
      <c r="D2355" s="1"/>
    </row>
    <row r="2356" spans="4:4" x14ac:dyDescent="0.2">
      <c r="D2356" s="1"/>
    </row>
    <row r="2357" spans="4:4" x14ac:dyDescent="0.2">
      <c r="D2357" s="1"/>
    </row>
    <row r="2358" spans="4:4" x14ac:dyDescent="0.2">
      <c r="D2358" s="1"/>
    </row>
    <row r="2359" spans="4:4" x14ac:dyDescent="0.2">
      <c r="D2359" s="1"/>
    </row>
    <row r="2360" spans="4:4" x14ac:dyDescent="0.2">
      <c r="D2360" s="1"/>
    </row>
    <row r="2361" spans="4:4" x14ac:dyDescent="0.2">
      <c r="D2361" s="1"/>
    </row>
    <row r="2362" spans="4:4" x14ac:dyDescent="0.2">
      <c r="D2362" s="1"/>
    </row>
    <row r="2363" spans="4:4" x14ac:dyDescent="0.2">
      <c r="D2363" s="1"/>
    </row>
    <row r="2364" spans="4:4" x14ac:dyDescent="0.2">
      <c r="D2364" s="1"/>
    </row>
    <row r="2365" spans="4:4" x14ac:dyDescent="0.2">
      <c r="D2365" s="1"/>
    </row>
    <row r="2366" spans="4:4" x14ac:dyDescent="0.2">
      <c r="D2366" s="1"/>
    </row>
    <row r="2367" spans="4:4" x14ac:dyDescent="0.2">
      <c r="D2367" s="1"/>
    </row>
    <row r="2368" spans="4:4" x14ac:dyDescent="0.2">
      <c r="D2368" s="1"/>
    </row>
    <row r="2369" spans="4:4" x14ac:dyDescent="0.2">
      <c r="D2369" s="1"/>
    </row>
    <row r="2370" spans="4:4" x14ac:dyDescent="0.2">
      <c r="D2370" s="1"/>
    </row>
    <row r="2371" spans="4:4" x14ac:dyDescent="0.2">
      <c r="D2371" s="1"/>
    </row>
    <row r="2372" spans="4:4" x14ac:dyDescent="0.2">
      <c r="D2372" s="1"/>
    </row>
    <row r="2373" spans="4:4" x14ac:dyDescent="0.2">
      <c r="D2373" s="1"/>
    </row>
    <row r="2374" spans="4:4" x14ac:dyDescent="0.2">
      <c r="D2374" s="1"/>
    </row>
    <row r="2375" spans="4:4" x14ac:dyDescent="0.2">
      <c r="D2375" s="1"/>
    </row>
    <row r="2376" spans="4:4" x14ac:dyDescent="0.2">
      <c r="D2376" s="1"/>
    </row>
    <row r="2377" spans="4:4" x14ac:dyDescent="0.2">
      <c r="D2377" s="1"/>
    </row>
    <row r="2378" spans="4:4" x14ac:dyDescent="0.2">
      <c r="D2378" s="1"/>
    </row>
    <row r="2379" spans="4:4" x14ac:dyDescent="0.2">
      <c r="D2379" s="1"/>
    </row>
    <row r="2380" spans="4:4" x14ac:dyDescent="0.2">
      <c r="D2380" s="1"/>
    </row>
    <row r="2381" spans="4:4" x14ac:dyDescent="0.2">
      <c r="D2381" s="1"/>
    </row>
    <row r="2383" spans="4:4" x14ac:dyDescent="0.2">
      <c r="D2383" s="1"/>
    </row>
    <row r="2384" spans="4:4" x14ac:dyDescent="0.2">
      <c r="D2384" s="1"/>
    </row>
    <row r="2385" spans="4:4" x14ac:dyDescent="0.2">
      <c r="D2385" s="1"/>
    </row>
    <row r="2386" spans="4:4" x14ac:dyDescent="0.2">
      <c r="D2386" s="1"/>
    </row>
    <row r="2387" spans="4:4" x14ac:dyDescent="0.2">
      <c r="D2387" s="1"/>
    </row>
    <row r="2389" spans="4:4" x14ac:dyDescent="0.2">
      <c r="D2389" s="1"/>
    </row>
    <row r="2391" spans="4:4" x14ac:dyDescent="0.2">
      <c r="D2391" s="1"/>
    </row>
    <row r="2393" spans="4:4" x14ac:dyDescent="0.2">
      <c r="D2393" s="1"/>
    </row>
    <row r="2394" spans="4:4" x14ac:dyDescent="0.2">
      <c r="D2394" s="1"/>
    </row>
    <row r="2396" spans="4:4" x14ac:dyDescent="0.2">
      <c r="D2396" s="1"/>
    </row>
    <row r="2397" spans="4:4" x14ac:dyDescent="0.2">
      <c r="D2397" s="1"/>
    </row>
    <row r="2403" spans="4:4" x14ac:dyDescent="0.2">
      <c r="D2403" s="1"/>
    </row>
    <row r="2405" spans="4:4" x14ac:dyDescent="0.2">
      <c r="D2405" s="1"/>
    </row>
    <row r="2407" spans="4:4" x14ac:dyDescent="0.2">
      <c r="D2407" s="1"/>
    </row>
    <row r="2411" spans="4:4" x14ac:dyDescent="0.2">
      <c r="D2411" s="1"/>
    </row>
    <row r="2428" spans="4:4" x14ac:dyDescent="0.2">
      <c r="D2428" s="1"/>
    </row>
    <row r="2431" spans="4:4" x14ac:dyDescent="0.2">
      <c r="D2431" s="1"/>
    </row>
    <row r="2447" spans="4:4" x14ac:dyDescent="0.2">
      <c r="D2447" s="1"/>
    </row>
  </sheetData>
  <mergeCells count="2">
    <mergeCell ref="A7:D7"/>
    <mergeCell ref="F7:H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F4FE-D125-4F27-9F86-223C0C03A336}">
  <dimension ref="A2:H2447"/>
  <sheetViews>
    <sheetView topLeftCell="A216" workbookViewId="0">
      <selection activeCell="G9" sqref="G9:H257"/>
    </sheetView>
  </sheetViews>
  <sheetFormatPr baseColWidth="10" defaultColWidth="8.83203125" defaultRowHeight="15" x14ac:dyDescent="0.2"/>
  <cols>
    <col min="1" max="1" width="16.1640625" customWidth="1"/>
    <col min="2" max="2" width="17.33203125" customWidth="1"/>
    <col min="3" max="3" width="14" customWidth="1"/>
    <col min="4" max="4" width="15.1640625" customWidth="1"/>
    <col min="5" max="5" width="10.33203125" customWidth="1"/>
    <col min="6" max="6" width="13.6640625" customWidth="1"/>
    <col min="7" max="7" width="12.6640625" customWidth="1"/>
  </cols>
  <sheetData>
    <row r="2" spans="1:8" x14ac:dyDescent="0.2">
      <c r="B2" t="s">
        <v>20</v>
      </c>
    </row>
    <row r="3" spans="1:8" x14ac:dyDescent="0.2"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8" x14ac:dyDescent="0.2">
      <c r="C4" s="1">
        <f>'sample info summary'!B8*10^-6</f>
        <v>8.2689999999999996E-5</v>
      </c>
      <c r="D4">
        <f>'sample info summary'!C8</f>
        <v>4.0199999999999996</v>
      </c>
      <c r="E4">
        <f>'sample info summary'!D8</f>
        <v>4.01</v>
      </c>
      <c r="F4">
        <f>'sample info summary'!E8</f>
        <v>1E-4</v>
      </c>
      <c r="G4" s="1">
        <f>(D4*E4*F4)*0.000000001</f>
        <v>1.6120199999999998E-12</v>
      </c>
    </row>
    <row r="7" spans="1:8" x14ac:dyDescent="0.2">
      <c r="A7" s="17" t="s">
        <v>9</v>
      </c>
      <c r="B7" s="17"/>
      <c r="C7" s="17"/>
      <c r="D7" s="17"/>
      <c r="F7" s="17" t="s">
        <v>10</v>
      </c>
      <c r="G7" s="17"/>
      <c r="H7" s="17"/>
    </row>
    <row r="8" spans="1:8" x14ac:dyDescent="0.2">
      <c r="A8" t="s">
        <v>11</v>
      </c>
      <c r="B8" t="s">
        <v>12</v>
      </c>
      <c r="C8" t="s">
        <v>13</v>
      </c>
      <c r="D8" t="s">
        <v>14</v>
      </c>
      <c r="F8" t="s">
        <v>16</v>
      </c>
      <c r="G8" t="s">
        <v>15</v>
      </c>
      <c r="H8" t="s">
        <v>17</v>
      </c>
    </row>
    <row r="9" spans="1:8" x14ac:dyDescent="0.2">
      <c r="A9">
        <v>293.15808105468699</v>
      </c>
      <c r="B9">
        <v>-7.2636932134628296E-2</v>
      </c>
      <c r="C9" s="1">
        <v>2.0146129314354099E-5</v>
      </c>
      <c r="D9" s="1">
        <v>3.0278904602832701E-7</v>
      </c>
      <c r="F9">
        <f t="shared" ref="F9:F72" si="0">C9/1000</f>
        <v>2.0146129314354099E-8</v>
      </c>
      <c r="G9">
        <f t="shared" ref="G9:G72" si="1">(B9*1000)/(4*PI())</f>
        <v>-5.7802634001283151</v>
      </c>
      <c r="H9">
        <f t="shared" ref="H9:H72" si="2">F9/$G$4</f>
        <v>12497.443775110793</v>
      </c>
    </row>
    <row r="10" spans="1:8" x14ac:dyDescent="0.2">
      <c r="A10">
        <v>293.14686584472702</v>
      </c>
      <c r="B10">
        <v>0.77176734805107094</v>
      </c>
      <c r="C10" s="1">
        <v>1.9875836264016601E-5</v>
      </c>
      <c r="D10" s="1">
        <v>3.3369298467912401E-7</v>
      </c>
      <c r="F10">
        <f t="shared" si="0"/>
        <v>1.9875836264016602E-8</v>
      </c>
      <c r="G10">
        <f t="shared" si="1"/>
        <v>61.41529417962559</v>
      </c>
      <c r="H10">
        <f t="shared" si="2"/>
        <v>12329.770265887895</v>
      </c>
    </row>
    <row r="11" spans="1:8" x14ac:dyDescent="0.2">
      <c r="A11">
        <v>293.13960266113298</v>
      </c>
      <c r="B11">
        <v>0.69913041591644298</v>
      </c>
      <c r="C11" s="1">
        <v>2.0051652374143599E-5</v>
      </c>
      <c r="D11" s="1">
        <v>2.8277105076848597E-7</v>
      </c>
      <c r="F11">
        <f t="shared" si="0"/>
        <v>2.00516523741436E-8</v>
      </c>
      <c r="G11">
        <f t="shared" si="1"/>
        <v>55.635030779497299</v>
      </c>
      <c r="H11">
        <f t="shared" si="2"/>
        <v>12438.835978550887</v>
      </c>
    </row>
    <row r="12" spans="1:8" x14ac:dyDescent="0.2">
      <c r="A12">
        <v>293.13072204589798</v>
      </c>
      <c r="B12">
        <v>1.2529870271682699</v>
      </c>
      <c r="C12" s="1">
        <v>2.0344539520132899E-5</v>
      </c>
      <c r="D12" s="1">
        <v>3.4331260130355102E-7</v>
      </c>
      <c r="F12">
        <f t="shared" si="0"/>
        <v>2.0344539520132899E-8</v>
      </c>
      <c r="G12">
        <f t="shared" si="1"/>
        <v>99.709539501924553</v>
      </c>
      <c r="H12">
        <f t="shared" si="2"/>
        <v>12620.52550224743</v>
      </c>
    </row>
    <row r="13" spans="1:8" x14ac:dyDescent="0.2">
      <c r="A13">
        <v>293.12507629394503</v>
      </c>
      <c r="B13">
        <v>1.62525123357773</v>
      </c>
      <c r="C13" s="1">
        <v>2.0548368054602401E-5</v>
      </c>
      <c r="D13" s="1">
        <v>3.1658707790585397E-7</v>
      </c>
      <c r="F13">
        <f t="shared" si="0"/>
        <v>2.0548368054602402E-8</v>
      </c>
      <c r="G13">
        <f t="shared" si="1"/>
        <v>129.33338379504818</v>
      </c>
      <c r="H13">
        <f t="shared" si="2"/>
        <v>12746.968433767823</v>
      </c>
    </row>
    <row r="14" spans="1:8" x14ac:dyDescent="0.2">
      <c r="A14">
        <v>293.11811828613298</v>
      </c>
      <c r="B14">
        <v>2.0519932508468601</v>
      </c>
      <c r="C14" s="1">
        <v>2.02083849965322E-5</v>
      </c>
      <c r="D14" s="1">
        <v>3.4215832823442601E-7</v>
      </c>
      <c r="F14">
        <f t="shared" si="0"/>
        <v>2.0208384996532199E-8</v>
      </c>
      <c r="G14">
        <f t="shared" si="1"/>
        <v>163.29243453174266</v>
      </c>
      <c r="H14">
        <f t="shared" si="2"/>
        <v>12536.0634461931</v>
      </c>
    </row>
    <row r="15" spans="1:8" x14ac:dyDescent="0.2">
      <c r="A15">
        <v>293.11146545410202</v>
      </c>
      <c r="B15">
        <v>2.48781478404999</v>
      </c>
      <c r="C15" s="1">
        <v>2.0887780959328901E-5</v>
      </c>
      <c r="D15" s="1">
        <v>2.8252951545490102E-7</v>
      </c>
      <c r="F15">
        <f t="shared" si="0"/>
        <v>2.08877809593289E-8</v>
      </c>
      <c r="G15">
        <f t="shared" si="1"/>
        <v>197.97401018932604</v>
      </c>
      <c r="H15">
        <f t="shared" si="2"/>
        <v>12957.519732589486</v>
      </c>
    </row>
    <row r="16" spans="1:8" x14ac:dyDescent="0.2">
      <c r="A16">
        <v>293.10444641113298</v>
      </c>
      <c r="B16">
        <v>3.7861999273300202</v>
      </c>
      <c r="C16" s="1">
        <v>2.0673125020623001E-5</v>
      </c>
      <c r="D16" s="1">
        <v>3.0194620175591699E-7</v>
      </c>
      <c r="F16">
        <f t="shared" si="0"/>
        <v>2.0673125020623002E-8</v>
      </c>
      <c r="G16">
        <f t="shared" si="1"/>
        <v>301.29621698437381</v>
      </c>
      <c r="H16">
        <f t="shared" si="2"/>
        <v>12824.360132394762</v>
      </c>
    </row>
    <row r="17" spans="1:8" x14ac:dyDescent="0.2">
      <c r="A17">
        <v>293.10046386718801</v>
      </c>
      <c r="B17">
        <v>3.8225183486938499</v>
      </c>
      <c r="C17" s="1">
        <v>2.1001333974078201E-5</v>
      </c>
      <c r="D17" s="1">
        <v>2.6110424742855598E-7</v>
      </c>
      <c r="F17">
        <f t="shared" si="0"/>
        <v>2.1001333974078202E-8</v>
      </c>
      <c r="G17">
        <f t="shared" si="1"/>
        <v>304.18634512704773</v>
      </c>
      <c r="H17">
        <f t="shared" si="2"/>
        <v>13027.961175468174</v>
      </c>
    </row>
    <row r="18" spans="1:8" x14ac:dyDescent="0.2">
      <c r="A18">
        <v>293.09371948242199</v>
      </c>
      <c r="B18">
        <v>5.9562282562255904</v>
      </c>
      <c r="C18" s="1">
        <v>2.08040150971442E-5</v>
      </c>
      <c r="D18" s="1">
        <v>3.2630087831474401E-7</v>
      </c>
      <c r="F18">
        <f t="shared" si="0"/>
        <v>2.0804015097144201E-8</v>
      </c>
      <c r="G18">
        <f t="shared" si="1"/>
        <v>473.98158458096145</v>
      </c>
      <c r="H18">
        <f t="shared" si="2"/>
        <v>12905.556442937559</v>
      </c>
    </row>
    <row r="19" spans="1:8" x14ac:dyDescent="0.2">
      <c r="A19">
        <v>293.08624267578102</v>
      </c>
      <c r="B19">
        <v>7.1456580162048304</v>
      </c>
      <c r="C19" s="1">
        <v>2.1657163926074202E-5</v>
      </c>
      <c r="D19" s="1">
        <v>3.08712707198094E-7</v>
      </c>
      <c r="F19">
        <f t="shared" si="0"/>
        <v>2.1657163926074203E-8</v>
      </c>
      <c r="G19">
        <f t="shared" si="1"/>
        <v>568.63339746161273</v>
      </c>
      <c r="H19">
        <f t="shared" si="2"/>
        <v>13434.798529840948</v>
      </c>
    </row>
    <row r="20" spans="1:8" x14ac:dyDescent="0.2">
      <c r="A20">
        <v>293.08012390136702</v>
      </c>
      <c r="B20">
        <v>8.7255110740661603</v>
      </c>
      <c r="C20" s="1">
        <v>2.1428957672332199E-5</v>
      </c>
      <c r="D20" s="1">
        <v>3.4107457147591598E-7</v>
      </c>
      <c r="F20">
        <f t="shared" si="0"/>
        <v>2.1428957672332199E-8</v>
      </c>
      <c r="G20">
        <f t="shared" si="1"/>
        <v>694.35410922035112</v>
      </c>
      <c r="H20">
        <f t="shared" si="2"/>
        <v>13293.233131308669</v>
      </c>
    </row>
    <row r="21" spans="1:8" x14ac:dyDescent="0.2">
      <c r="A21">
        <v>293.07409667968699</v>
      </c>
      <c r="B21">
        <v>10.5686726570129</v>
      </c>
      <c r="C21" s="1">
        <v>2.1928928976122001E-5</v>
      </c>
      <c r="D21" s="1">
        <v>2.54222922974502E-7</v>
      </c>
      <c r="F21">
        <f t="shared" si="0"/>
        <v>2.1928928976122E-8</v>
      </c>
      <c r="G21">
        <f t="shared" si="1"/>
        <v>841.02824764187937</v>
      </c>
      <c r="H21">
        <f t="shared" si="2"/>
        <v>13603.385178919618</v>
      </c>
    </row>
    <row r="22" spans="1:8" x14ac:dyDescent="0.2">
      <c r="A22">
        <v>293.06840515136702</v>
      </c>
      <c r="B22">
        <v>13.1472840309143</v>
      </c>
      <c r="C22" s="1">
        <v>2.2337339218013599E-5</v>
      </c>
      <c r="D22" s="1">
        <v>3.2843617089068201E-7</v>
      </c>
      <c r="F22">
        <f t="shared" si="0"/>
        <v>2.2337339218013601E-8</v>
      </c>
      <c r="G22">
        <f t="shared" si="1"/>
        <v>1046.2276208765747</v>
      </c>
      <c r="H22">
        <f t="shared" si="2"/>
        <v>13856.738265042371</v>
      </c>
    </row>
    <row r="23" spans="1:8" x14ac:dyDescent="0.2">
      <c r="A23">
        <v>293.06387329101602</v>
      </c>
      <c r="B23">
        <v>16.706493377685501</v>
      </c>
      <c r="C23" s="1">
        <v>2.20756497606366E-5</v>
      </c>
      <c r="D23" s="1">
        <v>2.96374727519614E-7</v>
      </c>
      <c r="F23">
        <f t="shared" si="0"/>
        <v>2.2075649760636598E-8</v>
      </c>
      <c r="G23">
        <f t="shared" si="1"/>
        <v>1329.460501395331</v>
      </c>
      <c r="H23">
        <f t="shared" si="2"/>
        <v>13694.401906078461</v>
      </c>
    </row>
    <row r="24" spans="1:8" x14ac:dyDescent="0.2">
      <c r="A24">
        <v>293.05911254882801</v>
      </c>
      <c r="B24">
        <v>20.492693901062001</v>
      </c>
      <c r="C24" s="1">
        <v>2.3506930488704701E-5</v>
      </c>
      <c r="D24" s="1">
        <v>2.9959933573790501E-7</v>
      </c>
      <c r="F24">
        <f t="shared" si="0"/>
        <v>2.3506930488704699E-8</v>
      </c>
      <c r="G24">
        <f t="shared" si="1"/>
        <v>1630.7567658115768</v>
      </c>
      <c r="H24">
        <f t="shared" si="2"/>
        <v>14582.282160708119</v>
      </c>
    </row>
    <row r="25" spans="1:8" x14ac:dyDescent="0.2">
      <c r="A25">
        <v>293.05574035644503</v>
      </c>
      <c r="B25">
        <v>25.168695449829102</v>
      </c>
      <c r="C25" s="1">
        <v>2.3685534610481499E-5</v>
      </c>
      <c r="D25" s="1">
        <v>2.9030906709538699E-7</v>
      </c>
      <c r="F25">
        <f t="shared" si="0"/>
        <v>2.3685534610481498E-8</v>
      </c>
      <c r="G25">
        <f t="shared" si="1"/>
        <v>2002.861146007398</v>
      </c>
      <c r="H25">
        <f t="shared" si="2"/>
        <v>14693.077387676021</v>
      </c>
    </row>
    <row r="26" spans="1:8" x14ac:dyDescent="0.2">
      <c r="A26">
        <v>293.05287170410202</v>
      </c>
      <c r="B26">
        <v>31.079525947570801</v>
      </c>
      <c r="C26" s="1">
        <v>2.55844671940025E-5</v>
      </c>
      <c r="D26" s="1">
        <v>2.9293606992623101E-7</v>
      </c>
      <c r="F26">
        <f t="shared" si="0"/>
        <v>2.55844671940025E-8</v>
      </c>
      <c r="G26">
        <f t="shared" si="1"/>
        <v>2473.2300917543575</v>
      </c>
      <c r="H26">
        <f t="shared" si="2"/>
        <v>15871.060653095186</v>
      </c>
    </row>
    <row r="27" spans="1:8" x14ac:dyDescent="0.2">
      <c r="A27">
        <v>293.04751586914102</v>
      </c>
      <c r="B27">
        <v>38.179784774780302</v>
      </c>
      <c r="C27" s="1">
        <v>2.6489002078155099E-5</v>
      </c>
      <c r="D27" s="1">
        <v>3.60581201629122E-7</v>
      </c>
      <c r="F27">
        <f t="shared" si="0"/>
        <v>2.6489002078155099E-8</v>
      </c>
      <c r="G27">
        <f t="shared" si="1"/>
        <v>3038.2507365454858</v>
      </c>
      <c r="H27">
        <f t="shared" si="2"/>
        <v>16432.179549977729</v>
      </c>
    </row>
    <row r="28" spans="1:8" x14ac:dyDescent="0.2">
      <c r="A28">
        <v>293.04571533203102</v>
      </c>
      <c r="B28">
        <v>47.150447845458999</v>
      </c>
      <c r="C28" s="1">
        <v>2.7463256071323401E-5</v>
      </c>
      <c r="D28" s="1">
        <v>2.5650147896868902E-7</v>
      </c>
      <c r="F28">
        <f t="shared" si="0"/>
        <v>2.7463256071323402E-8</v>
      </c>
      <c r="G28">
        <f t="shared" si="1"/>
        <v>3752.1134218007032</v>
      </c>
      <c r="H28">
        <f t="shared" si="2"/>
        <v>17036.547977893206</v>
      </c>
    </row>
    <row r="29" spans="1:8" x14ac:dyDescent="0.2">
      <c r="A29">
        <v>293.04095458984398</v>
      </c>
      <c r="B29">
        <v>58.000587463378899</v>
      </c>
      <c r="C29" s="1">
        <v>3.02202914837751E-5</v>
      </c>
      <c r="D29" s="1">
        <v>3.3610916945894999E-7</v>
      </c>
      <c r="F29">
        <f t="shared" si="0"/>
        <v>3.0220291483775098E-8</v>
      </c>
      <c r="G29">
        <f t="shared" si="1"/>
        <v>4615.5400985152837</v>
      </c>
      <c r="H29">
        <f t="shared" si="2"/>
        <v>18746.846493080175</v>
      </c>
    </row>
    <row r="30" spans="1:8" x14ac:dyDescent="0.2">
      <c r="A30">
        <v>293.03787231445301</v>
      </c>
      <c r="B30">
        <v>71.501979827880902</v>
      </c>
      <c r="C30" s="1">
        <v>3.20740144963347E-5</v>
      </c>
      <c r="D30" s="1">
        <v>2.9149185627927802E-7</v>
      </c>
      <c r="F30">
        <f t="shared" si="0"/>
        <v>3.2074014496334703E-8</v>
      </c>
      <c r="G30">
        <f t="shared" si="1"/>
        <v>5689.9467652321173</v>
      </c>
      <c r="H30">
        <f t="shared" si="2"/>
        <v>19896.784466901594</v>
      </c>
    </row>
    <row r="31" spans="1:8" x14ac:dyDescent="0.2">
      <c r="A31">
        <v>293.03651428222702</v>
      </c>
      <c r="B31">
        <v>88.081359863281307</v>
      </c>
      <c r="C31" s="1">
        <v>3.4967945902015297E-5</v>
      </c>
      <c r="D31" s="1">
        <v>3.4237531023889199E-7</v>
      </c>
      <c r="F31">
        <f t="shared" si="0"/>
        <v>3.4967945902015297E-8</v>
      </c>
      <c r="G31">
        <f t="shared" si="1"/>
        <v>7009.291908248646</v>
      </c>
      <c r="H31">
        <f t="shared" si="2"/>
        <v>21692.005001188136</v>
      </c>
    </row>
    <row r="32" spans="1:8" x14ac:dyDescent="0.2">
      <c r="A32">
        <v>293.03163146972702</v>
      </c>
      <c r="B32">
        <v>108.537727355957</v>
      </c>
      <c r="C32" s="1">
        <v>3.8524103455386103E-5</v>
      </c>
      <c r="D32" s="1">
        <v>3.0089104828048901E-7</v>
      </c>
      <c r="F32">
        <f t="shared" si="0"/>
        <v>3.8524103455386106E-8</v>
      </c>
      <c r="G32">
        <f t="shared" si="1"/>
        <v>8637.1579103304939</v>
      </c>
      <c r="H32">
        <f t="shared" si="2"/>
        <v>23898.030703952874</v>
      </c>
    </row>
    <row r="33" spans="1:8" x14ac:dyDescent="0.2">
      <c r="A33">
        <v>293.02947998046898</v>
      </c>
      <c r="B33">
        <v>133.58839416503901</v>
      </c>
      <c r="C33" s="1">
        <v>4.4167217037134601E-5</v>
      </c>
      <c r="D33" s="1">
        <v>3.5042841048933098E-7</v>
      </c>
      <c r="F33">
        <f t="shared" si="0"/>
        <v>4.41672170371346E-8</v>
      </c>
      <c r="G33">
        <f t="shared" si="1"/>
        <v>10630.626635537234</v>
      </c>
      <c r="H33">
        <f t="shared" si="2"/>
        <v>27398.67807913959</v>
      </c>
    </row>
    <row r="34" spans="1:8" x14ac:dyDescent="0.2">
      <c r="A34">
        <v>293.02645874023398</v>
      </c>
      <c r="B34">
        <v>164.41369628906199</v>
      </c>
      <c r="C34" s="1">
        <v>5.0632474349011898E-5</v>
      </c>
      <c r="D34" s="1">
        <v>3.4644631316843499E-7</v>
      </c>
      <c r="F34">
        <f t="shared" si="0"/>
        <v>5.0632474349011898E-8</v>
      </c>
      <c r="G34">
        <f t="shared" si="1"/>
        <v>13083.626238206911</v>
      </c>
      <c r="H34">
        <f t="shared" si="2"/>
        <v>31409.333847602327</v>
      </c>
    </row>
    <row r="35" spans="1:8" x14ac:dyDescent="0.2">
      <c r="A35">
        <v>293.02476501464798</v>
      </c>
      <c r="B35">
        <v>202.41189575195301</v>
      </c>
      <c r="C35" s="1">
        <v>5.8707189748537797E-5</v>
      </c>
      <c r="D35" s="1">
        <v>3.3520937364787501E-7</v>
      </c>
      <c r="F35">
        <f t="shared" si="0"/>
        <v>5.8707189748537794E-8</v>
      </c>
      <c r="G35">
        <f t="shared" si="1"/>
        <v>16107.426874762366</v>
      </c>
      <c r="H35">
        <f t="shared" si="2"/>
        <v>36418.400360130647</v>
      </c>
    </row>
    <row r="36" spans="1:8" x14ac:dyDescent="0.2">
      <c r="A36">
        <v>293.02334594726602</v>
      </c>
      <c r="B36">
        <v>249.20822906494101</v>
      </c>
      <c r="C36" s="1">
        <v>7.0419449507741106E-5</v>
      </c>
      <c r="D36" s="1">
        <v>2.7895971579732702E-7</v>
      </c>
      <c r="F36">
        <f t="shared" si="0"/>
        <v>7.0419449507741106E-8</v>
      </c>
      <c r="G36">
        <f t="shared" si="1"/>
        <v>19831.36075743135</v>
      </c>
      <c r="H36">
        <f t="shared" si="2"/>
        <v>43683.980042270639</v>
      </c>
    </row>
    <row r="37" spans="1:8" x14ac:dyDescent="0.2">
      <c r="A37">
        <v>293.01853942871099</v>
      </c>
      <c r="B37">
        <v>306.80020141601602</v>
      </c>
      <c r="C37" s="1">
        <v>8.3693851529004698E-5</v>
      </c>
      <c r="D37" s="1">
        <v>3.3974413802661798E-7</v>
      </c>
      <c r="F37">
        <f t="shared" si="0"/>
        <v>8.3693851529004697E-8</v>
      </c>
      <c r="G37">
        <f t="shared" si="1"/>
        <v>24414.384298474029</v>
      </c>
      <c r="H37">
        <f t="shared" si="2"/>
        <v>51918.618583519252</v>
      </c>
    </row>
    <row r="38" spans="1:8" x14ac:dyDescent="0.2">
      <c r="A38">
        <v>293.01618957519503</v>
      </c>
      <c r="B38">
        <v>377.83914184570301</v>
      </c>
      <c r="C38">
        <v>1.02328467845064E-4</v>
      </c>
      <c r="D38" s="1">
        <v>3.3534887992381199E-7</v>
      </c>
      <c r="F38">
        <f t="shared" si="0"/>
        <v>1.0232846784506399E-7</v>
      </c>
      <c r="G38">
        <f t="shared" si="1"/>
        <v>30067.483559171716</v>
      </c>
      <c r="H38">
        <f t="shared" si="2"/>
        <v>63478.410841716606</v>
      </c>
    </row>
    <row r="39" spans="1:8" x14ac:dyDescent="0.2">
      <c r="A39">
        <v>293.01272583007801</v>
      </c>
      <c r="B39">
        <v>465.35755920410202</v>
      </c>
      <c r="C39">
        <v>1.2680648634446601E-4</v>
      </c>
      <c r="D39" s="1">
        <v>3.2231201140029202E-7</v>
      </c>
      <c r="F39">
        <f t="shared" si="0"/>
        <v>1.2680648634446601E-7</v>
      </c>
      <c r="G39">
        <f t="shared" si="1"/>
        <v>37031.977926256091</v>
      </c>
      <c r="H39">
        <f t="shared" si="2"/>
        <v>78663.097445730207</v>
      </c>
    </row>
    <row r="40" spans="1:8" x14ac:dyDescent="0.2">
      <c r="A40">
        <v>293.01100158691401</v>
      </c>
      <c r="B40">
        <v>573.314208984375</v>
      </c>
      <c r="C40">
        <v>1.5665848799918501E-4</v>
      </c>
      <c r="D40" s="1">
        <v>3.2801291049820303E-7</v>
      </c>
      <c r="F40">
        <f t="shared" si="0"/>
        <v>1.5665848799918502E-7</v>
      </c>
      <c r="G40">
        <f t="shared" si="1"/>
        <v>45622.895152341596</v>
      </c>
      <c r="H40">
        <f t="shared" si="2"/>
        <v>97181.479137470393</v>
      </c>
    </row>
    <row r="41" spans="1:8" x14ac:dyDescent="0.2">
      <c r="A41">
        <v>293.00962829589798</v>
      </c>
      <c r="B41">
        <v>705.78582763671898</v>
      </c>
      <c r="C41">
        <v>1.9523069767087901E-4</v>
      </c>
      <c r="D41" s="1">
        <v>3.9296046286049498E-7</v>
      </c>
      <c r="F41">
        <f t="shared" si="0"/>
        <v>1.9523069767087899E-7</v>
      </c>
      <c r="G41">
        <f t="shared" si="1"/>
        <v>56164.651616294133</v>
      </c>
      <c r="H41">
        <f t="shared" si="2"/>
        <v>121109.35203712052</v>
      </c>
    </row>
    <row r="42" spans="1:8" x14ac:dyDescent="0.2">
      <c r="A42">
        <v>293.00646972656199</v>
      </c>
      <c r="B42">
        <v>869.71829223632801</v>
      </c>
      <c r="C42">
        <v>2.3918164029350001E-4</v>
      </c>
      <c r="D42" s="1">
        <v>3.4125488673796401E-7</v>
      </c>
      <c r="F42">
        <f t="shared" si="0"/>
        <v>2.3918164029350001E-7</v>
      </c>
      <c r="G42">
        <f t="shared" si="1"/>
        <v>69209.982653426589</v>
      </c>
      <c r="H42">
        <f t="shared" si="2"/>
        <v>148373.8665112716</v>
      </c>
    </row>
    <row r="43" spans="1:8" x14ac:dyDescent="0.2">
      <c r="A43">
        <v>293.00520324707003</v>
      </c>
      <c r="B43">
        <v>1071.07690429688</v>
      </c>
      <c r="C43">
        <v>2.87919221541774E-4</v>
      </c>
      <c r="D43" s="1">
        <v>3.5475880399168201E-7</v>
      </c>
      <c r="F43">
        <f t="shared" si="0"/>
        <v>2.8791922154177401E-7</v>
      </c>
      <c r="G43">
        <f t="shared" si="1"/>
        <v>85233.591875206679</v>
      </c>
      <c r="H43">
        <f t="shared" si="2"/>
        <v>178607.72294498456</v>
      </c>
    </row>
    <row r="44" spans="1:8" x14ac:dyDescent="0.2">
      <c r="A44">
        <v>293.00161743164102</v>
      </c>
      <c r="B44">
        <v>1318.8596801757801</v>
      </c>
      <c r="C44">
        <v>3.3695989676827797E-4</v>
      </c>
      <c r="D44" s="1">
        <v>3.1295638953785099E-7</v>
      </c>
      <c r="F44">
        <f t="shared" si="0"/>
        <v>3.3695989676827796E-7</v>
      </c>
      <c r="G44">
        <f t="shared" si="1"/>
        <v>104951.51867228579</v>
      </c>
      <c r="H44">
        <f t="shared" si="2"/>
        <v>209029.600605624</v>
      </c>
    </row>
    <row r="45" spans="1:8" x14ac:dyDescent="0.2">
      <c r="A45">
        <v>292.99867248535202</v>
      </c>
      <c r="B45">
        <v>1624.78820800781</v>
      </c>
      <c r="C45">
        <v>3.8344619992359999E-4</v>
      </c>
      <c r="D45" s="1">
        <v>2.9419144787723901E-7</v>
      </c>
      <c r="F45">
        <f t="shared" si="0"/>
        <v>3.834461999236E-7</v>
      </c>
      <c r="G45">
        <f t="shared" si="1"/>
        <v>129296.5373909328</v>
      </c>
      <c r="H45">
        <f t="shared" si="2"/>
        <v>237866.89986699919</v>
      </c>
    </row>
    <row r="46" spans="1:8" x14ac:dyDescent="0.2">
      <c r="A46">
        <v>292.99954223632801</v>
      </c>
      <c r="B46">
        <v>2000.7841796875</v>
      </c>
      <c r="C46">
        <v>4.26164612427174E-4</v>
      </c>
      <c r="D46" s="1">
        <v>3.6071424517681701E-7</v>
      </c>
      <c r="F46">
        <f t="shared" si="0"/>
        <v>4.2616461242717402E-7</v>
      </c>
      <c r="G46">
        <f t="shared" si="1"/>
        <v>159217.34612866427</v>
      </c>
      <c r="H46">
        <f t="shared" si="2"/>
        <v>264366.82697930181</v>
      </c>
    </row>
    <row r="47" spans="1:8" x14ac:dyDescent="0.2">
      <c r="A47">
        <v>292.99690246582003</v>
      </c>
      <c r="B47">
        <v>2464.30786132813</v>
      </c>
      <c r="C47">
        <v>4.66384090815415E-4</v>
      </c>
      <c r="D47" s="1">
        <v>3.0065943215234602E-7</v>
      </c>
      <c r="F47">
        <f t="shared" si="0"/>
        <v>4.6638409081541499E-7</v>
      </c>
      <c r="G47">
        <f t="shared" si="1"/>
        <v>196103.38871529442</v>
      </c>
      <c r="H47">
        <f t="shared" si="2"/>
        <v>289316.56605713023</v>
      </c>
    </row>
    <row r="48" spans="1:8" x14ac:dyDescent="0.2">
      <c r="A48">
        <v>292.99421691894503</v>
      </c>
      <c r="B48">
        <v>3035.02514648438</v>
      </c>
      <c r="C48">
        <v>5.0513460339116003E-4</v>
      </c>
      <c r="D48" s="1">
        <v>3.1502941491532601E-7</v>
      </c>
      <c r="F48">
        <f t="shared" si="0"/>
        <v>5.0513460339116002E-7</v>
      </c>
      <c r="G48">
        <f t="shared" si="1"/>
        <v>241519.62723559642</v>
      </c>
      <c r="H48">
        <f t="shared" si="2"/>
        <v>313355.04732643522</v>
      </c>
    </row>
    <row r="49" spans="1:8" x14ac:dyDescent="0.2">
      <c r="A49">
        <v>292.99232482910202</v>
      </c>
      <c r="B49">
        <v>3737.6331787109398</v>
      </c>
      <c r="C49">
        <v>5.4095799717268102E-4</v>
      </c>
      <c r="D49" s="1">
        <v>3.0983018476165297E-7</v>
      </c>
      <c r="F49">
        <f t="shared" si="0"/>
        <v>5.4095799717268099E-7</v>
      </c>
      <c r="G49">
        <f t="shared" si="1"/>
        <v>297431.39792805974</v>
      </c>
      <c r="H49">
        <f t="shared" si="2"/>
        <v>335577.72060686658</v>
      </c>
    </row>
    <row r="50" spans="1:8" x14ac:dyDescent="0.2">
      <c r="A50">
        <v>292.990966796875</v>
      </c>
      <c r="B50">
        <v>4603.2385253906295</v>
      </c>
      <c r="C50">
        <v>5.7583234300234102E-4</v>
      </c>
      <c r="D50" s="1">
        <v>3.94966674168491E-7</v>
      </c>
      <c r="F50">
        <f t="shared" si="0"/>
        <v>5.7583234300234106E-7</v>
      </c>
      <c r="G50">
        <f t="shared" si="1"/>
        <v>366314.08277348295</v>
      </c>
      <c r="H50">
        <f t="shared" si="2"/>
        <v>357211.66176743532</v>
      </c>
    </row>
    <row r="51" spans="1:8" x14ac:dyDescent="0.2">
      <c r="A51">
        <v>292.98854064941401</v>
      </c>
      <c r="B51">
        <v>5669.65771484375</v>
      </c>
      <c r="C51">
        <v>6.0852170150468301E-4</v>
      </c>
      <c r="D51" s="1">
        <v>2.9922045177101603E-7</v>
      </c>
      <c r="F51">
        <f t="shared" si="0"/>
        <v>6.0852170150468301E-7</v>
      </c>
      <c r="G51">
        <f t="shared" si="1"/>
        <v>451177.02547824121</v>
      </c>
      <c r="H51">
        <f t="shared" si="2"/>
        <v>377490.16854920104</v>
      </c>
    </row>
    <row r="52" spans="1:8" x14ac:dyDescent="0.2">
      <c r="A52">
        <v>292.98735046386702</v>
      </c>
      <c r="B52">
        <v>6981.68017578125</v>
      </c>
      <c r="C52">
        <v>6.40038585704956E-4</v>
      </c>
      <c r="D52" s="1">
        <v>3.6071086783711401E-7</v>
      </c>
      <c r="F52">
        <f t="shared" si="0"/>
        <v>6.4003858570495599E-7</v>
      </c>
      <c r="G52">
        <f t="shared" si="1"/>
        <v>555584.45553113939</v>
      </c>
      <c r="H52">
        <f t="shared" si="2"/>
        <v>397041.34297648666</v>
      </c>
    </row>
    <row r="53" spans="1:8" x14ac:dyDescent="0.2">
      <c r="A53">
        <v>292.98527526855497</v>
      </c>
      <c r="B53">
        <v>8598.6416015625</v>
      </c>
      <c r="C53">
        <v>6.7039424396286103E-4</v>
      </c>
      <c r="D53" s="1">
        <v>4.5233146990637699E-7</v>
      </c>
      <c r="F53">
        <f t="shared" si="0"/>
        <v>6.7039424396286105E-7</v>
      </c>
      <c r="G53">
        <f t="shared" si="1"/>
        <v>684258.1573821418</v>
      </c>
      <c r="H53">
        <f t="shared" si="2"/>
        <v>415872.16285335238</v>
      </c>
    </row>
    <row r="54" spans="1:8" x14ac:dyDescent="0.2">
      <c r="A54">
        <v>292.98312377929699</v>
      </c>
      <c r="B54">
        <v>10589.8916015625</v>
      </c>
      <c r="C54">
        <v>6.9824975205691399E-4</v>
      </c>
      <c r="D54" s="1">
        <v>3.8551713483429998E-7</v>
      </c>
      <c r="F54">
        <f t="shared" si="0"/>
        <v>6.9824975205691405E-7</v>
      </c>
      <c r="G54">
        <f t="shared" si="1"/>
        <v>842716.79759801005</v>
      </c>
      <c r="H54">
        <f t="shared" si="2"/>
        <v>433152.04033257288</v>
      </c>
    </row>
    <row r="55" spans="1:8" x14ac:dyDescent="0.2">
      <c r="A55">
        <v>292.98368835449202</v>
      </c>
      <c r="B55">
        <v>13041.043457031201</v>
      </c>
      <c r="C55">
        <v>7.2402947651605898E-4</v>
      </c>
      <c r="D55" s="1">
        <v>5.7173679150269205E-7</v>
      </c>
      <c r="F55">
        <f t="shared" si="0"/>
        <v>7.2402947651605902E-7</v>
      </c>
      <c r="G55">
        <f t="shared" si="1"/>
        <v>1037773.2646313675</v>
      </c>
      <c r="H55">
        <f t="shared" si="2"/>
        <v>449144.22681856249</v>
      </c>
    </row>
    <row r="56" spans="1:8" x14ac:dyDescent="0.2">
      <c r="A56">
        <v>292.98197937011702</v>
      </c>
      <c r="B56">
        <v>16060.814453125</v>
      </c>
      <c r="C56">
        <v>7.4750780146121804E-4</v>
      </c>
      <c r="D56" s="1">
        <v>6.4993803197009499E-7</v>
      </c>
      <c r="F56">
        <f t="shared" si="0"/>
        <v>7.4750780146121809E-7</v>
      </c>
      <c r="G56">
        <f t="shared" si="1"/>
        <v>1278079.0051482997</v>
      </c>
      <c r="H56">
        <f t="shared" si="2"/>
        <v>463708.76382502588</v>
      </c>
    </row>
    <row r="57" spans="1:8" x14ac:dyDescent="0.2">
      <c r="A57">
        <v>292.98065185546898</v>
      </c>
      <c r="B57">
        <v>19779.525390625</v>
      </c>
      <c r="C57">
        <v>7.6614931359913997E-4</v>
      </c>
      <c r="D57" s="1">
        <v>6.6917175432765703E-7</v>
      </c>
      <c r="F57">
        <f t="shared" si="0"/>
        <v>7.6614931359913998E-7</v>
      </c>
      <c r="G57">
        <f t="shared" si="1"/>
        <v>1574004.6189648104</v>
      </c>
      <c r="H57">
        <f t="shared" si="2"/>
        <v>475272.83383527503</v>
      </c>
    </row>
    <row r="58" spans="1:8" x14ac:dyDescent="0.2">
      <c r="A58">
        <v>292.979736328125</v>
      </c>
      <c r="B58">
        <v>24359.4931640625</v>
      </c>
      <c r="C58">
        <v>7.8044086863704204E-4</v>
      </c>
      <c r="D58" s="1">
        <v>9.3802457855754204E-7</v>
      </c>
      <c r="F58">
        <f t="shared" si="0"/>
        <v>7.8044086863704204E-7</v>
      </c>
      <c r="G58">
        <f t="shared" si="1"/>
        <v>1938466.8741368903</v>
      </c>
      <c r="H58">
        <f t="shared" si="2"/>
        <v>484138.45277170389</v>
      </c>
    </row>
    <row r="59" spans="1:8" x14ac:dyDescent="0.2">
      <c r="A59">
        <v>292.97894287109398</v>
      </c>
      <c r="B59">
        <v>29999.5048828125</v>
      </c>
      <c r="C59">
        <v>7.8744249243081202E-4</v>
      </c>
      <c r="D59" s="1">
        <v>9.6432347868173199E-7</v>
      </c>
      <c r="F59">
        <f t="shared" si="0"/>
        <v>7.8744249243081202E-7</v>
      </c>
      <c r="G59">
        <f t="shared" si="1"/>
        <v>2387284.7462045299</v>
      </c>
      <c r="H59">
        <f t="shared" si="2"/>
        <v>488481.83796157129</v>
      </c>
    </row>
    <row r="60" spans="1:8" x14ac:dyDescent="0.2">
      <c r="A60">
        <v>292.97698974609398</v>
      </c>
      <c r="B60">
        <v>24359.775390625</v>
      </c>
      <c r="C60">
        <v>7.7996411216115598E-4</v>
      </c>
      <c r="D60" s="1">
        <v>6.9991258927243004E-7</v>
      </c>
      <c r="F60">
        <f t="shared" si="0"/>
        <v>7.7996411216115595E-7</v>
      </c>
      <c r="G60">
        <f t="shared" si="1"/>
        <v>1938489.3330131373</v>
      </c>
      <c r="H60">
        <f t="shared" si="2"/>
        <v>483842.70180342428</v>
      </c>
    </row>
    <row r="61" spans="1:8" x14ac:dyDescent="0.2">
      <c r="A61">
        <v>292.97714233398398</v>
      </c>
      <c r="B61">
        <v>19779.796875</v>
      </c>
      <c r="C61">
        <v>7.6784290132556705E-4</v>
      </c>
      <c r="D61" s="1">
        <v>8.0757041149336104E-7</v>
      </c>
      <c r="F61">
        <f t="shared" si="0"/>
        <v>7.6784290132556703E-7</v>
      </c>
      <c r="G61">
        <f t="shared" si="1"/>
        <v>1574026.2230049372</v>
      </c>
      <c r="H61">
        <f t="shared" si="2"/>
        <v>476323.43353405484</v>
      </c>
    </row>
    <row r="62" spans="1:8" x14ac:dyDescent="0.2">
      <c r="A62">
        <v>292.97599792480497</v>
      </c>
      <c r="B62">
        <v>16060.7158203125</v>
      </c>
      <c r="C62">
        <v>7.4847913219533099E-4</v>
      </c>
      <c r="D62" s="1">
        <v>7.0338714969140005E-7</v>
      </c>
      <c r="F62">
        <f t="shared" si="0"/>
        <v>7.48479132195331E-7</v>
      </c>
      <c r="G62">
        <f t="shared" si="1"/>
        <v>1278071.1561984697</v>
      </c>
      <c r="H62">
        <f t="shared" si="2"/>
        <v>464311.31883930165</v>
      </c>
    </row>
    <row r="63" spans="1:8" x14ac:dyDescent="0.2">
      <c r="A63">
        <v>292.97689819335898</v>
      </c>
      <c r="B63">
        <v>13041.243652343701</v>
      </c>
      <c r="C63">
        <v>7.2609374676103195E-4</v>
      </c>
      <c r="D63" s="1">
        <v>5.2319092529623901E-7</v>
      </c>
      <c r="F63">
        <f t="shared" si="0"/>
        <v>7.2609374676103199E-7</v>
      </c>
      <c r="G63">
        <f t="shared" si="1"/>
        <v>1037789.1956681516</v>
      </c>
      <c r="H63">
        <f t="shared" si="2"/>
        <v>450424.77559895784</v>
      </c>
    </row>
    <row r="64" spans="1:8" x14ac:dyDescent="0.2">
      <c r="A64">
        <v>292.97567749023398</v>
      </c>
      <c r="B64">
        <v>10589.375</v>
      </c>
      <c r="C64">
        <v>7.0094778168122999E-4</v>
      </c>
      <c r="D64" s="1">
        <v>4.5037454800856298E-7</v>
      </c>
      <c r="F64">
        <f t="shared" si="0"/>
        <v>7.0094778168122999E-7</v>
      </c>
      <c r="G64">
        <f t="shared" si="1"/>
        <v>842675.68775186967</v>
      </c>
      <c r="H64">
        <f t="shared" si="2"/>
        <v>434825.73521496635</v>
      </c>
    </row>
    <row r="65" spans="1:8" x14ac:dyDescent="0.2">
      <c r="A65">
        <v>292.97525024414102</v>
      </c>
      <c r="B65">
        <v>8598.4326171875</v>
      </c>
      <c r="C65">
        <v>6.7357160710355003E-4</v>
      </c>
      <c r="D65" s="1">
        <v>4.3221925656990297E-7</v>
      </c>
      <c r="F65">
        <f t="shared" si="0"/>
        <v>6.7357160710355001E-7</v>
      </c>
      <c r="G65">
        <f t="shared" si="1"/>
        <v>684241.52693398669</v>
      </c>
      <c r="H65">
        <f t="shared" si="2"/>
        <v>417843.2073445429</v>
      </c>
    </row>
    <row r="66" spans="1:8" x14ac:dyDescent="0.2">
      <c r="A66">
        <v>292.97605895996099</v>
      </c>
      <c r="B66">
        <v>6981.9794921875</v>
      </c>
      <c r="C66">
        <v>6.4493148815428399E-4</v>
      </c>
      <c r="D66" s="1">
        <v>4.7917306755467405E-7</v>
      </c>
      <c r="F66">
        <f t="shared" si="0"/>
        <v>6.4493148815428402E-7</v>
      </c>
      <c r="G66">
        <f t="shared" si="1"/>
        <v>555608.27437394101</v>
      </c>
      <c r="H66">
        <f t="shared" si="2"/>
        <v>400076.60460433748</v>
      </c>
    </row>
    <row r="67" spans="1:8" x14ac:dyDescent="0.2">
      <c r="A67">
        <v>292.97547912597702</v>
      </c>
      <c r="B67">
        <v>5669.08544921875</v>
      </c>
      <c r="C67">
        <v>6.1485541521827598E-4</v>
      </c>
      <c r="D67" s="1">
        <v>3.0061211704480698E-7</v>
      </c>
      <c r="F67">
        <f t="shared" si="0"/>
        <v>6.1485541521827592E-7</v>
      </c>
      <c r="G67">
        <f t="shared" si="1"/>
        <v>451131.48602675105</v>
      </c>
      <c r="H67">
        <f t="shared" si="2"/>
        <v>381419.22260162776</v>
      </c>
    </row>
    <row r="68" spans="1:8" x14ac:dyDescent="0.2">
      <c r="A68">
        <v>292.97434997558599</v>
      </c>
      <c r="B68">
        <v>4603.46533203125</v>
      </c>
      <c r="C68">
        <v>5.8447000500271397E-4</v>
      </c>
      <c r="D68" s="1">
        <v>3.1333824534544101E-7</v>
      </c>
      <c r="F68">
        <f t="shared" si="0"/>
        <v>5.8447000500271401E-7</v>
      </c>
      <c r="G68">
        <f t="shared" si="1"/>
        <v>366332.13147247332</v>
      </c>
      <c r="H68">
        <f t="shared" si="2"/>
        <v>362569.94640433375</v>
      </c>
    </row>
    <row r="69" spans="1:8" x14ac:dyDescent="0.2">
      <c r="A69">
        <v>292.97547912597702</v>
      </c>
      <c r="B69">
        <v>3737.4605712890602</v>
      </c>
      <c r="C69">
        <v>5.5330576274212502E-4</v>
      </c>
      <c r="D69" s="1">
        <v>3.9376638749096198E-7</v>
      </c>
      <c r="F69">
        <f t="shared" si="0"/>
        <v>5.5330576274212506E-7</v>
      </c>
      <c r="G69">
        <f t="shared" si="1"/>
        <v>297417.66226585652</v>
      </c>
      <c r="H69">
        <f t="shared" si="2"/>
        <v>343237.52977142041</v>
      </c>
    </row>
    <row r="70" spans="1:8" x14ac:dyDescent="0.2">
      <c r="A70">
        <v>292.97627258300798</v>
      </c>
      <c r="B70">
        <v>3035.07055664063</v>
      </c>
      <c r="C70">
        <v>5.2214960713197205E-4</v>
      </c>
      <c r="D70" s="1">
        <v>3.4852981194267399E-7</v>
      </c>
      <c r="F70">
        <f t="shared" si="0"/>
        <v>5.2214960713197208E-7</v>
      </c>
      <c r="G70">
        <f t="shared" si="1"/>
        <v>241523.2408610133</v>
      </c>
      <c r="H70">
        <f t="shared" si="2"/>
        <v>323910.1296087965</v>
      </c>
    </row>
    <row r="71" spans="1:8" x14ac:dyDescent="0.2">
      <c r="A71">
        <v>292.97552490234398</v>
      </c>
      <c r="B71">
        <v>2464.3077392578102</v>
      </c>
      <c r="C71">
        <v>4.9047474917247196E-4</v>
      </c>
      <c r="D71" s="1">
        <v>4.36722075986462E-7</v>
      </c>
      <c r="F71">
        <f t="shared" si="0"/>
        <v>4.9047474917247199E-7</v>
      </c>
      <c r="G71">
        <f t="shared" si="1"/>
        <v>196103.37900124703</v>
      </c>
      <c r="H71">
        <f t="shared" si="2"/>
        <v>304260.95778741705</v>
      </c>
    </row>
    <row r="72" spans="1:8" x14ac:dyDescent="0.2">
      <c r="A72">
        <v>292.97319030761702</v>
      </c>
      <c r="B72">
        <v>2000.7841796875</v>
      </c>
      <c r="C72">
        <v>4.6016905554070199E-4</v>
      </c>
      <c r="D72" s="1">
        <v>4.1045477723958199E-7</v>
      </c>
      <c r="F72">
        <f t="shared" si="0"/>
        <v>4.6016905554070198E-7</v>
      </c>
      <c r="G72">
        <f t="shared" si="1"/>
        <v>159217.34612866427</v>
      </c>
      <c r="H72">
        <f t="shared" si="2"/>
        <v>285461.13295163959</v>
      </c>
    </row>
    <row r="73" spans="1:8" x14ac:dyDescent="0.2">
      <c r="A73">
        <v>292.97509765625</v>
      </c>
      <c r="B73">
        <v>1624.5067749023401</v>
      </c>
      <c r="C73">
        <v>4.2950851281519601E-4</v>
      </c>
      <c r="D73" s="1">
        <v>3.3343303206672399E-7</v>
      </c>
      <c r="F73">
        <f t="shared" ref="F73:F136" si="3">C73/1000</f>
        <v>4.2950851281519598E-7</v>
      </c>
      <c r="G73">
        <f t="shared" ref="G73:G136" si="4">(B73*1000)/(4*PI())</f>
        <v>129274.14165599018</v>
      </c>
      <c r="H73">
        <f t="shared" ref="H73:H136" si="5">F73/$G$4</f>
        <v>266441.18113621173</v>
      </c>
    </row>
    <row r="74" spans="1:8" x14ac:dyDescent="0.2">
      <c r="A74">
        <v>292.97708129882801</v>
      </c>
      <c r="B74">
        <v>1319.05041503906</v>
      </c>
      <c r="C74">
        <v>4.00872398715081E-4</v>
      </c>
      <c r="D74" s="1">
        <v>3.7188323158138403E-7</v>
      </c>
      <c r="F74">
        <f t="shared" si="3"/>
        <v>4.0087239871508102E-7</v>
      </c>
      <c r="G74">
        <f t="shared" si="4"/>
        <v>104966.69687044126</v>
      </c>
      <c r="H74">
        <f t="shared" si="5"/>
        <v>248677.06276291923</v>
      </c>
    </row>
    <row r="75" spans="1:8" x14ac:dyDescent="0.2">
      <c r="A75">
        <v>292.97622680664102</v>
      </c>
      <c r="B75">
        <v>1071.04064941406</v>
      </c>
      <c r="C75">
        <v>3.7281621921053898E-4</v>
      </c>
      <c r="D75" s="1">
        <v>3.0822925888528301E-7</v>
      </c>
      <c r="F75">
        <f t="shared" si="3"/>
        <v>3.7281621921053895E-7</v>
      </c>
      <c r="G75">
        <f t="shared" si="4"/>
        <v>85230.706803300665</v>
      </c>
      <c r="H75">
        <f t="shared" si="5"/>
        <v>231272.70084151498</v>
      </c>
    </row>
    <row r="76" spans="1:8" x14ac:dyDescent="0.2">
      <c r="A76">
        <v>292.97540283203102</v>
      </c>
      <c r="B76">
        <v>869.68194580078102</v>
      </c>
      <c r="C76">
        <v>3.4648258131301498E-4</v>
      </c>
      <c r="D76" s="1">
        <v>3.5592318421454199E-7</v>
      </c>
      <c r="F76">
        <f t="shared" si="3"/>
        <v>3.46482581313015E-7</v>
      </c>
      <c r="G76">
        <f t="shared" si="4"/>
        <v>69207.090295986054</v>
      </c>
      <c r="H76">
        <f t="shared" si="5"/>
        <v>214936.8998604329</v>
      </c>
    </row>
    <row r="77" spans="1:8" x14ac:dyDescent="0.2">
      <c r="A77">
        <v>292.97439575195301</v>
      </c>
      <c r="B77">
        <v>705.94924926757801</v>
      </c>
      <c r="C77">
        <v>3.21641229850022E-4</v>
      </c>
      <c r="D77" s="1">
        <v>3.5540060551124499E-7</v>
      </c>
      <c r="F77">
        <f t="shared" si="3"/>
        <v>3.2164122985002199E-7</v>
      </c>
      <c r="G77">
        <f t="shared" si="4"/>
        <v>56177.656296473811</v>
      </c>
      <c r="H77">
        <f t="shared" si="5"/>
        <v>199526.82339550502</v>
      </c>
    </row>
    <row r="78" spans="1:8" x14ac:dyDescent="0.2">
      <c r="A78">
        <v>292.97576904296898</v>
      </c>
      <c r="B78">
        <v>573.17803955078102</v>
      </c>
      <c r="C78">
        <v>2.9877636564433903E-4</v>
      </c>
      <c r="D78" s="1">
        <v>3.4741396728902702E-7</v>
      </c>
      <c r="F78">
        <f t="shared" si="3"/>
        <v>2.9877636564433905E-7</v>
      </c>
      <c r="G78">
        <f t="shared" si="4"/>
        <v>45612.059133114344</v>
      </c>
      <c r="H78">
        <f t="shared" si="5"/>
        <v>185342.84043891457</v>
      </c>
    </row>
    <row r="79" spans="1:8" x14ac:dyDescent="0.2">
      <c r="A79">
        <v>292.97642517089798</v>
      </c>
      <c r="B79">
        <v>465.21231079101602</v>
      </c>
      <c r="C79">
        <v>2.7901845150945002E-4</v>
      </c>
      <c r="D79" s="1">
        <v>2.82421617711455E-7</v>
      </c>
      <c r="F79">
        <f t="shared" si="3"/>
        <v>2.7901845150945004E-7</v>
      </c>
      <c r="G79">
        <f t="shared" si="4"/>
        <v>37020.419424796644</v>
      </c>
      <c r="H79">
        <f t="shared" si="5"/>
        <v>173086.2219509994</v>
      </c>
    </row>
    <row r="80" spans="1:8" x14ac:dyDescent="0.2">
      <c r="A80">
        <v>292.97528076171898</v>
      </c>
      <c r="B80">
        <v>377.89363098144503</v>
      </c>
      <c r="C80">
        <v>2.61232977665243E-4</v>
      </c>
      <c r="D80" s="1">
        <v>3.6318551775183799E-7</v>
      </c>
      <c r="F80">
        <f t="shared" si="3"/>
        <v>2.6123297766524302E-7</v>
      </c>
      <c r="G80">
        <f t="shared" si="4"/>
        <v>30071.819666820789</v>
      </c>
      <c r="H80">
        <f t="shared" si="5"/>
        <v>162053.1864773657</v>
      </c>
    </row>
    <row r="81" spans="1:8" x14ac:dyDescent="0.2">
      <c r="A81">
        <v>292.97601318359398</v>
      </c>
      <c r="B81">
        <v>306.62771606445301</v>
      </c>
      <c r="C81">
        <v>2.4476816325467098E-4</v>
      </c>
      <c r="D81" s="1">
        <v>3.07808180572752E-7</v>
      </c>
      <c r="F81">
        <f t="shared" si="3"/>
        <v>2.4476816325467098E-7</v>
      </c>
      <c r="G81">
        <f t="shared" si="4"/>
        <v>24400.658350317932</v>
      </c>
      <c r="H81">
        <f t="shared" si="5"/>
        <v>151839.40847797858</v>
      </c>
    </row>
    <row r="82" spans="1:8" x14ac:dyDescent="0.2">
      <c r="A82">
        <v>292.97618103027298</v>
      </c>
      <c r="B82">
        <v>248.85412597656199</v>
      </c>
      <c r="C82">
        <v>2.31357062160242E-4</v>
      </c>
      <c r="D82" s="1">
        <v>3.8314087501357802E-7</v>
      </c>
      <c r="F82">
        <f t="shared" si="3"/>
        <v>2.31357062160242E-7</v>
      </c>
      <c r="G82">
        <f t="shared" si="4"/>
        <v>19803.182128991539</v>
      </c>
      <c r="H82">
        <f t="shared" si="5"/>
        <v>143519.97007496312</v>
      </c>
    </row>
    <row r="83" spans="1:8" x14ac:dyDescent="0.2">
      <c r="A83">
        <v>292.97679138183599</v>
      </c>
      <c r="B83">
        <v>202.19396972656199</v>
      </c>
      <c r="C83">
        <v>2.1895564492344601E-4</v>
      </c>
      <c r="D83" s="1">
        <v>3.4383011777839001E-7</v>
      </c>
      <c r="F83">
        <f t="shared" si="3"/>
        <v>2.1895564492344601E-7</v>
      </c>
      <c r="G83">
        <f t="shared" si="4"/>
        <v>16090.084872677691</v>
      </c>
      <c r="H83">
        <f t="shared" si="5"/>
        <v>135826.87865128598</v>
      </c>
    </row>
    <row r="84" spans="1:8" x14ac:dyDescent="0.2">
      <c r="A84">
        <v>292.97589111328102</v>
      </c>
      <c r="B84">
        <v>163.83258056640599</v>
      </c>
      <c r="C84">
        <v>2.0732612683176501E-4</v>
      </c>
      <c r="D84" s="1">
        <v>2.8493405336535801E-7</v>
      </c>
      <c r="F84">
        <f t="shared" si="3"/>
        <v>2.0732612683176501E-7</v>
      </c>
      <c r="G84">
        <f t="shared" si="4"/>
        <v>13037.382518322353</v>
      </c>
      <c r="H84">
        <f t="shared" si="5"/>
        <v>128612.62691019035</v>
      </c>
    </row>
    <row r="85" spans="1:8" x14ac:dyDescent="0.2">
      <c r="A85">
        <v>292.97581481933599</v>
      </c>
      <c r="B85">
        <v>132.95281982421901</v>
      </c>
      <c r="C85">
        <v>2.00057247185762E-4</v>
      </c>
      <c r="D85" s="1">
        <v>3.2340748042515101E-7</v>
      </c>
      <c r="F85">
        <f t="shared" si="3"/>
        <v>2.00057247185762E-7</v>
      </c>
      <c r="G85">
        <f t="shared" si="4"/>
        <v>10580.049236515295</v>
      </c>
      <c r="H85">
        <f t="shared" si="5"/>
        <v>124103.45230565502</v>
      </c>
    </row>
    <row r="86" spans="1:8" x14ac:dyDescent="0.2">
      <c r="A86">
        <v>292.97584533691401</v>
      </c>
      <c r="B86">
        <v>107.929393768311</v>
      </c>
      <c r="C86">
        <v>1.9246654588044601E-4</v>
      </c>
      <c r="D86" s="1">
        <v>4.4023498255627702E-7</v>
      </c>
      <c r="F86">
        <f t="shared" si="3"/>
        <v>1.92466545880446E-7</v>
      </c>
      <c r="G86">
        <f t="shared" si="4"/>
        <v>8588.7482615691497</v>
      </c>
      <c r="H86">
        <f t="shared" si="5"/>
        <v>119394.63895016565</v>
      </c>
    </row>
    <row r="87" spans="1:8" x14ac:dyDescent="0.2">
      <c r="A87">
        <v>292.97564697265602</v>
      </c>
      <c r="B87">
        <v>87.4457817077637</v>
      </c>
      <c r="C87">
        <v>1.8524079762797E-4</v>
      </c>
      <c r="D87" s="1">
        <v>2.8364281544315902E-7</v>
      </c>
      <c r="F87">
        <f t="shared" si="3"/>
        <v>1.8524079762796999E-7</v>
      </c>
      <c r="G87">
        <f t="shared" si="4"/>
        <v>6958.7142056627172</v>
      </c>
      <c r="H87">
        <f t="shared" si="5"/>
        <v>114912.220461266</v>
      </c>
    </row>
    <row r="88" spans="1:8" x14ac:dyDescent="0.2">
      <c r="A88">
        <v>292.97569274902298</v>
      </c>
      <c r="B88">
        <v>70.802845001220703</v>
      </c>
      <c r="C88">
        <v>1.79382241596704E-4</v>
      </c>
      <c r="D88" s="1">
        <v>3.13455987931929E-7</v>
      </c>
      <c r="F88">
        <f t="shared" si="3"/>
        <v>1.7938224159670399E-7</v>
      </c>
      <c r="G88">
        <f t="shared" si="4"/>
        <v>5634.3113834567839</v>
      </c>
      <c r="H88">
        <f t="shared" si="5"/>
        <v>111277.92558200519</v>
      </c>
    </row>
    <row r="89" spans="1:8" x14ac:dyDescent="0.2">
      <c r="A89">
        <v>292.97514343261702</v>
      </c>
      <c r="B89">
        <v>57.365013122558601</v>
      </c>
      <c r="C89">
        <v>1.7347072896096299E-4</v>
      </c>
      <c r="D89" s="1">
        <v>3.6199549466733898E-7</v>
      </c>
      <c r="F89">
        <f t="shared" si="3"/>
        <v>1.7347072896096301E-7</v>
      </c>
      <c r="G89">
        <f t="shared" si="4"/>
        <v>4564.9626994933215</v>
      </c>
      <c r="H89">
        <f t="shared" si="5"/>
        <v>107610.77961871629</v>
      </c>
    </row>
    <row r="90" spans="1:8" x14ac:dyDescent="0.2">
      <c r="A90">
        <v>292.97550964355497</v>
      </c>
      <c r="B90">
        <v>46.741863250732401</v>
      </c>
      <c r="C90">
        <v>1.68959961335895E-4</v>
      </c>
      <c r="D90" s="1">
        <v>3.07448464139106E-7</v>
      </c>
      <c r="F90">
        <f t="shared" si="3"/>
        <v>1.6895996133589501E-7</v>
      </c>
      <c r="G90">
        <f t="shared" si="4"/>
        <v>3719.5992928397345</v>
      </c>
      <c r="H90">
        <f t="shared" si="5"/>
        <v>104812.57139234936</v>
      </c>
    </row>
    <row r="91" spans="1:8" x14ac:dyDescent="0.2">
      <c r="A91">
        <v>292.97615051269503</v>
      </c>
      <c r="B91">
        <v>37.816600799560497</v>
      </c>
      <c r="C91">
        <v>1.6547591888594501E-4</v>
      </c>
      <c r="D91" s="1">
        <v>3.2257773958714701E-7</v>
      </c>
      <c r="F91">
        <f t="shared" si="3"/>
        <v>1.6547591888594502E-7</v>
      </c>
      <c r="G91">
        <f t="shared" si="4"/>
        <v>3009.3494740914875</v>
      </c>
      <c r="H91">
        <f t="shared" si="5"/>
        <v>102651.28155106328</v>
      </c>
    </row>
    <row r="92" spans="1:8" x14ac:dyDescent="0.2">
      <c r="A92">
        <v>292.97587585449202</v>
      </c>
      <c r="B92">
        <v>30.516589164733901</v>
      </c>
      <c r="C92">
        <v>1.6148307355474899E-4</v>
      </c>
      <c r="D92" s="1">
        <v>3.7401837021360601E-7</v>
      </c>
      <c r="F92">
        <f t="shared" si="3"/>
        <v>1.61483073554749E-7</v>
      </c>
      <c r="G92">
        <f t="shared" si="4"/>
        <v>2428.4330059359872</v>
      </c>
      <c r="H92">
        <f t="shared" si="5"/>
        <v>100174.36108407403</v>
      </c>
    </row>
    <row r="93" spans="1:8" x14ac:dyDescent="0.2">
      <c r="A93">
        <v>292.97647094726602</v>
      </c>
      <c r="B93">
        <v>24.832750320434599</v>
      </c>
      <c r="C93">
        <v>1.5925424438381801E-4</v>
      </c>
      <c r="D93" s="1">
        <v>3.3618313463581699E-7</v>
      </c>
      <c r="F93">
        <f t="shared" si="3"/>
        <v>1.5925424438381801E-7</v>
      </c>
      <c r="G93">
        <f t="shared" si="4"/>
        <v>1976.1274820320073</v>
      </c>
      <c r="H93">
        <f t="shared" si="5"/>
        <v>98791.729869243572</v>
      </c>
    </row>
    <row r="94" spans="1:8" x14ac:dyDescent="0.2">
      <c r="A94">
        <v>292.97619628906301</v>
      </c>
      <c r="B94">
        <v>20.102271080017101</v>
      </c>
      <c r="C94">
        <v>1.5738691344003E-4</v>
      </c>
      <c r="D94" s="1">
        <v>3.43136273199871E-7</v>
      </c>
      <c r="F94">
        <f t="shared" si="3"/>
        <v>1.5738691344003E-7</v>
      </c>
      <c r="G94">
        <f t="shared" si="4"/>
        <v>1599.6879048789876</v>
      </c>
      <c r="H94">
        <f t="shared" si="5"/>
        <v>97633.35035547326</v>
      </c>
    </row>
    <row r="95" spans="1:8" x14ac:dyDescent="0.2">
      <c r="A95">
        <v>292.97535705566401</v>
      </c>
      <c r="B95">
        <v>16.524901390075701</v>
      </c>
      <c r="C95">
        <v>1.5515600469545899E-4</v>
      </c>
      <c r="D95" s="1">
        <v>4.0738345686328198E-7</v>
      </c>
      <c r="F95">
        <f t="shared" si="3"/>
        <v>1.55156004695459E-7</v>
      </c>
      <c r="G95">
        <f t="shared" si="4"/>
        <v>1315.0098701683403</v>
      </c>
      <c r="H95">
        <f t="shared" si="5"/>
        <v>96249.429098558961</v>
      </c>
    </row>
    <row r="96" spans="1:8" x14ac:dyDescent="0.2">
      <c r="A96">
        <v>292.97512817382801</v>
      </c>
      <c r="B96">
        <v>12.7659406661987</v>
      </c>
      <c r="C96">
        <v>1.5407459728566299E-4</v>
      </c>
      <c r="D96" s="1">
        <v>4.24201048140284E-7</v>
      </c>
      <c r="F96">
        <f t="shared" si="3"/>
        <v>1.5407459728566298E-7</v>
      </c>
      <c r="G96">
        <f t="shared" si="4"/>
        <v>1015.8812801216833</v>
      </c>
      <c r="H96">
        <f t="shared" si="5"/>
        <v>95578.589152530985</v>
      </c>
    </row>
    <row r="97" spans="1:8" x14ac:dyDescent="0.2">
      <c r="A97">
        <v>292.97622680664102</v>
      </c>
      <c r="B97">
        <v>10.359842300415</v>
      </c>
      <c r="C97">
        <v>1.5307063835278699E-4</v>
      </c>
      <c r="D97" s="1">
        <v>3.8445327340166E-7</v>
      </c>
      <c r="F97">
        <f t="shared" si="3"/>
        <v>1.5307063835278699E-7</v>
      </c>
      <c r="G97">
        <f t="shared" si="4"/>
        <v>824.41005588177984</v>
      </c>
      <c r="H97">
        <f t="shared" si="5"/>
        <v>94955.793571287577</v>
      </c>
    </row>
    <row r="98" spans="1:8" x14ac:dyDescent="0.2">
      <c r="A98">
        <v>292.97567749023398</v>
      </c>
      <c r="B98">
        <v>8.5076003074645996</v>
      </c>
      <c r="C98">
        <v>1.51620623384241E-4</v>
      </c>
      <c r="D98" s="1">
        <v>3.3982777557631399E-7</v>
      </c>
      <c r="F98">
        <f t="shared" si="3"/>
        <v>1.51620623384241E-7</v>
      </c>
      <c r="G98">
        <f t="shared" si="4"/>
        <v>677.01332139155988</v>
      </c>
      <c r="H98">
        <f t="shared" si="5"/>
        <v>94056.291723577262</v>
      </c>
    </row>
    <row r="99" spans="1:8" x14ac:dyDescent="0.2">
      <c r="A99">
        <v>292.97601318359398</v>
      </c>
      <c r="B99">
        <v>6.8732693195343</v>
      </c>
      <c r="C99">
        <v>1.5058769399335799E-4</v>
      </c>
      <c r="D99" s="1">
        <v>2.9509069857359999E-7</v>
      </c>
      <c r="F99">
        <f t="shared" si="3"/>
        <v>1.5058769399335799E-7</v>
      </c>
      <c r="G99">
        <f t="shared" si="4"/>
        <v>546.95739370287583</v>
      </c>
      <c r="H99">
        <f t="shared" si="5"/>
        <v>93415.524617162329</v>
      </c>
    </row>
    <row r="100" spans="1:8" x14ac:dyDescent="0.2">
      <c r="A100">
        <v>292.97613525390602</v>
      </c>
      <c r="B100">
        <v>6.1559796333312997</v>
      </c>
      <c r="C100">
        <v>1.4949632427998E-4</v>
      </c>
      <c r="D100" s="1">
        <v>4.0033339034277798E-7</v>
      </c>
      <c r="F100">
        <f t="shared" si="3"/>
        <v>1.4949632427998001E-7</v>
      </c>
      <c r="G100">
        <f t="shared" si="4"/>
        <v>489.87729410885487</v>
      </c>
      <c r="H100">
        <f t="shared" si="5"/>
        <v>92738.504658738733</v>
      </c>
    </row>
    <row r="101" spans="1:8" x14ac:dyDescent="0.2">
      <c r="A101">
        <v>292.97468566894503</v>
      </c>
      <c r="B101">
        <v>4.2674198150634801</v>
      </c>
      <c r="C101">
        <v>1.4848837270565801E-4</v>
      </c>
      <c r="D101" s="1">
        <v>2.9593034694289502E-7</v>
      </c>
      <c r="F101">
        <f t="shared" si="3"/>
        <v>1.4848837270565801E-7</v>
      </c>
      <c r="G101">
        <f t="shared" si="4"/>
        <v>339.59047890782739</v>
      </c>
      <c r="H101">
        <f t="shared" si="5"/>
        <v>92113.232283506426</v>
      </c>
    </row>
    <row r="102" spans="1:8" x14ac:dyDescent="0.2">
      <c r="A102">
        <v>292.97479248046898</v>
      </c>
      <c r="B102">
        <v>4.35821580886841</v>
      </c>
      <c r="C102">
        <v>1.4833170327691999E-4</v>
      </c>
      <c r="D102" s="1">
        <v>3.1838087001341102E-7</v>
      </c>
      <c r="F102">
        <f t="shared" si="3"/>
        <v>1.4833170327691999E-7</v>
      </c>
      <c r="G102">
        <f t="shared" si="4"/>
        <v>346.81579452132519</v>
      </c>
      <c r="H102">
        <f t="shared" si="5"/>
        <v>92016.044017394335</v>
      </c>
    </row>
    <row r="103" spans="1:8" x14ac:dyDescent="0.2">
      <c r="A103">
        <v>292.97592163085898</v>
      </c>
      <c r="B103">
        <v>3.75896120071411</v>
      </c>
      <c r="C103">
        <v>1.47398239585937E-4</v>
      </c>
      <c r="D103" s="1">
        <v>2.8416846452117002E-7</v>
      </c>
      <c r="F103">
        <f t="shared" si="3"/>
        <v>1.47398239585937E-7</v>
      </c>
      <c r="G103">
        <f t="shared" si="4"/>
        <v>299.12862799214838</v>
      </c>
      <c r="H103">
        <f t="shared" si="5"/>
        <v>91436.979433218585</v>
      </c>
    </row>
    <row r="104" spans="1:8" x14ac:dyDescent="0.2">
      <c r="A104">
        <v>292.97573852539102</v>
      </c>
      <c r="B104">
        <v>3.1597063541412398</v>
      </c>
      <c r="C104">
        <v>1.47192760442078E-4</v>
      </c>
      <c r="D104" s="1">
        <v>3.2386020779289102E-7</v>
      </c>
      <c r="F104">
        <f t="shared" si="3"/>
        <v>1.47192760442078E-7</v>
      </c>
      <c r="G104">
        <f t="shared" si="4"/>
        <v>251.44144249022457</v>
      </c>
      <c r="H104">
        <f t="shared" si="5"/>
        <v>91309.512563167955</v>
      </c>
    </row>
    <row r="105" spans="1:8" x14ac:dyDescent="0.2">
      <c r="A105">
        <v>292.97615051269503</v>
      </c>
      <c r="B105">
        <v>2.5332127809524501</v>
      </c>
      <c r="C105">
        <v>1.4652550046605301E-4</v>
      </c>
      <c r="D105" s="1">
        <v>3.3519583737157998E-7</v>
      </c>
      <c r="F105">
        <f t="shared" si="3"/>
        <v>1.46525500466053E-7</v>
      </c>
      <c r="G105">
        <f t="shared" si="4"/>
        <v>201.58666799607457</v>
      </c>
      <c r="H105">
        <f t="shared" si="5"/>
        <v>90895.584711140691</v>
      </c>
    </row>
    <row r="106" spans="1:8" x14ac:dyDescent="0.2">
      <c r="A106">
        <v>292.97572326660202</v>
      </c>
      <c r="B106">
        <v>2.2880631685256998</v>
      </c>
      <c r="C106">
        <v>1.46346855853146E-4</v>
      </c>
      <c r="D106" s="1">
        <v>3.3721025572534101E-7</v>
      </c>
      <c r="F106">
        <f t="shared" si="3"/>
        <v>1.4634685585314599E-7</v>
      </c>
      <c r="G106">
        <f t="shared" si="4"/>
        <v>182.07828168868474</v>
      </c>
      <c r="H106">
        <f t="shared" si="5"/>
        <v>90784.764365917305</v>
      </c>
    </row>
    <row r="107" spans="1:8" x14ac:dyDescent="0.2">
      <c r="A107">
        <v>292.97535705566401</v>
      </c>
      <c r="B107">
        <v>1.7796046733856199</v>
      </c>
      <c r="C107">
        <v>1.4547939697633801E-4</v>
      </c>
      <c r="D107" s="1">
        <v>3.9495558073613801E-7</v>
      </c>
      <c r="F107">
        <f t="shared" si="3"/>
        <v>1.4547939697633801E-7</v>
      </c>
      <c r="G107">
        <f t="shared" si="4"/>
        <v>141.61644025937966</v>
      </c>
      <c r="H107">
        <f t="shared" si="5"/>
        <v>90246.645188234659</v>
      </c>
    </row>
    <row r="108" spans="1:8" x14ac:dyDescent="0.2">
      <c r="A108">
        <v>292.97500610351602</v>
      </c>
      <c r="B108">
        <v>1.87040090560913</v>
      </c>
      <c r="C108">
        <v>1.4572454056549199E-4</v>
      </c>
      <c r="D108" s="1">
        <v>2.9637951564173302E-7</v>
      </c>
      <c r="F108">
        <f t="shared" si="3"/>
        <v>1.45724540565492E-7</v>
      </c>
      <c r="G108">
        <f t="shared" si="4"/>
        <v>148.84177484562528</v>
      </c>
      <c r="H108">
        <f t="shared" si="5"/>
        <v>90398.717488301641</v>
      </c>
    </row>
    <row r="109" spans="1:8" x14ac:dyDescent="0.2">
      <c r="A109">
        <v>292.97611999511702</v>
      </c>
      <c r="B109">
        <v>-1.47089779376984</v>
      </c>
      <c r="C109">
        <v>1.4489319786010501E-4</v>
      </c>
      <c r="D109" s="1">
        <v>2.9868083316735299E-7</v>
      </c>
      <c r="F109">
        <f t="shared" si="3"/>
        <v>1.4489319786010499E-7</v>
      </c>
      <c r="G109">
        <f t="shared" si="4"/>
        <v>-117.05032733071666</v>
      </c>
      <c r="H109">
        <f t="shared" si="5"/>
        <v>89883.002605491871</v>
      </c>
    </row>
    <row r="110" spans="1:8" x14ac:dyDescent="0.2">
      <c r="A110">
        <v>292.97648620605497</v>
      </c>
      <c r="B110">
        <v>-1.4890570640564</v>
      </c>
      <c r="C110">
        <v>1.4416672582747499E-4</v>
      </c>
      <c r="D110" s="1">
        <v>3.9843819770972301E-7</v>
      </c>
      <c r="F110">
        <f t="shared" si="3"/>
        <v>1.4416672582747499E-7</v>
      </c>
      <c r="G110">
        <f t="shared" si="4"/>
        <v>-118.49539614524056</v>
      </c>
      <c r="H110">
        <f t="shared" si="5"/>
        <v>89432.343164151185</v>
      </c>
    </row>
    <row r="111" spans="1:8" x14ac:dyDescent="0.2">
      <c r="A111">
        <v>292.97615051269503</v>
      </c>
      <c r="B111">
        <v>-1.43457931280136</v>
      </c>
      <c r="C111">
        <v>1.4408069842524699E-4</v>
      </c>
      <c r="D111" s="1">
        <v>3.6487414310434298E-7</v>
      </c>
      <c r="F111">
        <f t="shared" si="3"/>
        <v>1.4408069842524698E-7</v>
      </c>
      <c r="G111">
        <f t="shared" si="4"/>
        <v>-114.16019444485538</v>
      </c>
      <c r="H111">
        <f t="shared" si="5"/>
        <v>89378.976951431745</v>
      </c>
    </row>
    <row r="112" spans="1:8" x14ac:dyDescent="0.2">
      <c r="A112">
        <v>292.97657775878901</v>
      </c>
      <c r="B112">
        <v>-1.40734046697617</v>
      </c>
      <c r="C112">
        <v>1.43912980001655E-4</v>
      </c>
      <c r="D112" s="1">
        <v>3.3747675272609798E-7</v>
      </c>
      <c r="F112">
        <f t="shared" si="3"/>
        <v>1.43912980001655E-7</v>
      </c>
      <c r="G112">
        <f t="shared" si="4"/>
        <v>-111.99259596625689</v>
      </c>
      <c r="H112">
        <f t="shared" si="5"/>
        <v>89274.934555188534</v>
      </c>
    </row>
    <row r="113" spans="1:8" x14ac:dyDescent="0.2">
      <c r="A113">
        <v>292.97669982910202</v>
      </c>
      <c r="B113">
        <v>-2.38793897628784</v>
      </c>
      <c r="C113">
        <v>1.4364042699267101E-4</v>
      </c>
      <c r="D113" s="1">
        <v>3.5124727233418899E-7</v>
      </c>
      <c r="F113">
        <f t="shared" si="3"/>
        <v>1.4364042699267102E-7</v>
      </c>
      <c r="G113">
        <f t="shared" si="4"/>
        <v>-190.026145939005</v>
      </c>
      <c r="H113">
        <f t="shared" si="5"/>
        <v>89105.859103901341</v>
      </c>
    </row>
    <row r="114" spans="1:8" x14ac:dyDescent="0.2">
      <c r="A114">
        <v>292.97573852539102</v>
      </c>
      <c r="B114">
        <v>-2.7783625125885001</v>
      </c>
      <c r="C114">
        <v>1.4331962342298E-4</v>
      </c>
      <c r="D114" s="1">
        <v>3.0611976200901701E-7</v>
      </c>
      <c r="F114">
        <f t="shared" si="3"/>
        <v>1.4331962342298001E-7</v>
      </c>
      <c r="G114">
        <f t="shared" si="4"/>
        <v>-221.09506378983903</v>
      </c>
      <c r="H114">
        <f t="shared" si="5"/>
        <v>88906.85191435591</v>
      </c>
    </row>
    <row r="115" spans="1:8" x14ac:dyDescent="0.2">
      <c r="A115">
        <v>292.97640991210898</v>
      </c>
      <c r="B115">
        <v>-3.3231395483016999</v>
      </c>
      <c r="C115">
        <v>1.4301628729522899E-4</v>
      </c>
      <c r="D115" s="1">
        <v>3.4496253056785899E-7</v>
      </c>
      <c r="F115">
        <f t="shared" si="3"/>
        <v>1.4301628729522899E-7</v>
      </c>
      <c r="G115">
        <f t="shared" si="4"/>
        <v>-264.44704284819193</v>
      </c>
      <c r="H115">
        <f t="shared" si="5"/>
        <v>88718.68047246871</v>
      </c>
    </row>
    <row r="116" spans="1:8" x14ac:dyDescent="0.2">
      <c r="A116">
        <v>292.97674560546898</v>
      </c>
      <c r="B116">
        <v>-5.3115756511688197</v>
      </c>
      <c r="C116">
        <v>1.41940630131342E-4</v>
      </c>
      <c r="D116" s="1">
        <v>3.0267635845754198E-7</v>
      </c>
      <c r="F116">
        <f t="shared" si="3"/>
        <v>1.4194063013134201E-7</v>
      </c>
      <c r="G116">
        <f t="shared" si="4"/>
        <v>-422.68176024503521</v>
      </c>
      <c r="H116">
        <f t="shared" si="5"/>
        <v>88051.407632251474</v>
      </c>
    </row>
    <row r="117" spans="1:8" x14ac:dyDescent="0.2">
      <c r="A117">
        <v>292.97557067871099</v>
      </c>
      <c r="B117">
        <v>-5.22985887527466</v>
      </c>
      <c r="C117">
        <v>1.42018339572079E-4</v>
      </c>
      <c r="D117" s="1">
        <v>3.5068591881642302E-7</v>
      </c>
      <c r="F117">
        <f t="shared" si="3"/>
        <v>1.4201833957207899E-7</v>
      </c>
      <c r="G117">
        <f t="shared" si="4"/>
        <v>-416.17894583649115</v>
      </c>
      <c r="H117">
        <f t="shared" si="5"/>
        <v>88099.613883251455</v>
      </c>
    </row>
    <row r="118" spans="1:8" x14ac:dyDescent="0.2">
      <c r="A118">
        <v>292.97564697265602</v>
      </c>
      <c r="B118">
        <v>-7.5088422298431396</v>
      </c>
      <c r="C118">
        <v>1.41100057452868E-4</v>
      </c>
      <c r="D118" s="1">
        <v>2.82577087375612E-7</v>
      </c>
      <c r="F118">
        <f t="shared" si="3"/>
        <v>1.41100057452868E-7</v>
      </c>
      <c r="G118">
        <f t="shared" si="4"/>
        <v>-597.53467888835269</v>
      </c>
      <c r="H118">
        <f t="shared" si="5"/>
        <v>87529.96703072419</v>
      </c>
    </row>
    <row r="119" spans="1:8" x14ac:dyDescent="0.2">
      <c r="A119">
        <v>292.97547912597702</v>
      </c>
      <c r="B119">
        <v>-9.4337210655212402</v>
      </c>
      <c r="C119">
        <v>1.4064155987155599E-4</v>
      </c>
      <c r="D119" s="1">
        <v>2.9633471616022699E-7</v>
      </c>
      <c r="F119">
        <f t="shared" si="3"/>
        <v>1.4064155987155599E-7</v>
      </c>
      <c r="G119">
        <f t="shared" si="4"/>
        <v>-750.71166966392366</v>
      </c>
      <c r="H119">
        <f t="shared" si="5"/>
        <v>87245.542779590833</v>
      </c>
    </row>
    <row r="120" spans="1:8" x14ac:dyDescent="0.2">
      <c r="A120">
        <v>292.97520446777298</v>
      </c>
      <c r="B120">
        <v>-11.340440750122101</v>
      </c>
      <c r="C120">
        <v>1.39954362761996E-4</v>
      </c>
      <c r="D120" s="1">
        <v>2.8161587330368298E-7</v>
      </c>
      <c r="F120">
        <f t="shared" si="3"/>
        <v>1.39954362761996E-7</v>
      </c>
      <c r="G120">
        <f t="shared" si="4"/>
        <v>-902.44360111134699</v>
      </c>
      <c r="H120">
        <f t="shared" si="5"/>
        <v>86819.247132167104</v>
      </c>
    </row>
    <row r="121" spans="1:8" x14ac:dyDescent="0.2">
      <c r="A121">
        <v>292.97596740722702</v>
      </c>
      <c r="B121">
        <v>-13.8373351097107</v>
      </c>
      <c r="C121">
        <v>1.38915573037943E-4</v>
      </c>
      <c r="D121" s="1">
        <v>3.5504494020390699E-7</v>
      </c>
      <c r="F121">
        <f t="shared" si="3"/>
        <v>1.3891557303794301E-7</v>
      </c>
      <c r="G121">
        <f t="shared" si="4"/>
        <v>-1101.140140964746</v>
      </c>
      <c r="H121">
        <f t="shared" si="5"/>
        <v>86174.844628443214</v>
      </c>
    </row>
    <row r="122" spans="1:8" x14ac:dyDescent="0.2">
      <c r="A122">
        <v>292.97624206542997</v>
      </c>
      <c r="B122">
        <v>-16.915324211120598</v>
      </c>
      <c r="C122">
        <v>1.3810741632035799E-4</v>
      </c>
      <c r="D122" s="1">
        <v>3.4202577544195598E-7</v>
      </c>
      <c r="F122">
        <f t="shared" si="3"/>
        <v>1.3810741632035798E-7</v>
      </c>
      <c r="G122">
        <f t="shared" si="4"/>
        <v>-1346.0787311009292</v>
      </c>
      <c r="H122">
        <f t="shared" si="5"/>
        <v>85673.512934304788</v>
      </c>
    </row>
    <row r="123" spans="1:8" x14ac:dyDescent="0.2">
      <c r="A123">
        <v>292.97831726074202</v>
      </c>
      <c r="B123">
        <v>-20.928515434265101</v>
      </c>
      <c r="C123">
        <v>1.3769509406697699E-4</v>
      </c>
      <c r="D123" s="1">
        <v>3.7600610303009899E-7</v>
      </c>
      <c r="F123">
        <f t="shared" si="3"/>
        <v>1.37695094066977E-7</v>
      </c>
      <c r="G123">
        <f t="shared" si="4"/>
        <v>-1665.4383414691576</v>
      </c>
      <c r="H123">
        <f t="shared" si="5"/>
        <v>85417.733072156057</v>
      </c>
    </row>
    <row r="124" spans="1:8" x14ac:dyDescent="0.2">
      <c r="A124">
        <v>292.97668457031301</v>
      </c>
      <c r="B124">
        <v>-25.713473320007299</v>
      </c>
      <c r="C124">
        <v>1.36493449145165E-4</v>
      </c>
      <c r="D124" s="1">
        <v>3.9614546177173501E-7</v>
      </c>
      <c r="F124">
        <f t="shared" si="3"/>
        <v>1.36493449145165E-7</v>
      </c>
      <c r="G124">
        <f t="shared" si="4"/>
        <v>-2046.2131914703655</v>
      </c>
      <c r="H124">
        <f t="shared" si="5"/>
        <v>84672.305024233574</v>
      </c>
    </row>
    <row r="125" spans="1:8" x14ac:dyDescent="0.2">
      <c r="A125">
        <v>292.97615051269503</v>
      </c>
      <c r="B125">
        <v>-31.360993385314899</v>
      </c>
      <c r="C125">
        <v>1.34852613756031E-4</v>
      </c>
      <c r="D125" s="1">
        <v>3.2367143026651901E-7</v>
      </c>
      <c r="F125">
        <f t="shared" si="3"/>
        <v>1.3485261375603101E-7</v>
      </c>
      <c r="G125">
        <f t="shared" si="4"/>
        <v>-2495.6285587725492</v>
      </c>
      <c r="H125">
        <f t="shared" si="5"/>
        <v>83654.42969443991</v>
      </c>
    </row>
    <row r="126" spans="1:8" x14ac:dyDescent="0.2">
      <c r="A126">
        <v>292.97601318359398</v>
      </c>
      <c r="B126">
        <v>-38.688245773315401</v>
      </c>
      <c r="C126">
        <v>1.3276859208012699E-4</v>
      </c>
      <c r="D126" s="1">
        <v>3.7269793466681199E-7</v>
      </c>
      <c r="F126">
        <f t="shared" si="3"/>
        <v>1.3276859208012698E-7</v>
      </c>
      <c r="G126">
        <f t="shared" si="4"/>
        <v>-3078.7127771886367</v>
      </c>
      <c r="H126">
        <f t="shared" si="5"/>
        <v>82361.628317345312</v>
      </c>
    </row>
    <row r="127" spans="1:8" x14ac:dyDescent="0.2">
      <c r="A127">
        <v>292.97695922851602</v>
      </c>
      <c r="B127">
        <v>-47.631668090820298</v>
      </c>
      <c r="C127">
        <v>1.3140290356555799E-4</v>
      </c>
      <c r="D127" s="1">
        <v>3.3063524676257398E-7</v>
      </c>
      <c r="F127">
        <f t="shared" si="3"/>
        <v>1.3140290356555799E-7</v>
      </c>
      <c r="G127">
        <f t="shared" si="4"/>
        <v>-3790.4077121832761</v>
      </c>
      <c r="H127">
        <f t="shared" si="5"/>
        <v>81514.437516630074</v>
      </c>
    </row>
    <row r="128" spans="1:8" x14ac:dyDescent="0.2">
      <c r="A128">
        <v>292.97579956054699</v>
      </c>
      <c r="B128">
        <v>-58.545364379882798</v>
      </c>
      <c r="C128">
        <v>1.2865571089819199E-4</v>
      </c>
      <c r="D128" s="1">
        <v>2.9447199413455102E-7</v>
      </c>
      <c r="F128">
        <f t="shared" si="3"/>
        <v>1.2865571089819198E-7</v>
      </c>
      <c r="G128">
        <f t="shared" si="4"/>
        <v>-4658.8920680872616</v>
      </c>
      <c r="H128">
        <f t="shared" si="5"/>
        <v>79810.244846957226</v>
      </c>
    </row>
    <row r="129" spans="1:8" x14ac:dyDescent="0.2">
      <c r="A129">
        <v>292.97489929199202</v>
      </c>
      <c r="B129">
        <v>-71.856082916259794</v>
      </c>
      <c r="C129">
        <v>1.25553727967544E-4</v>
      </c>
      <c r="D129" s="1">
        <v>4.0729819726957398E-7</v>
      </c>
      <c r="F129">
        <f t="shared" si="3"/>
        <v>1.2555372796754401E-7</v>
      </c>
      <c r="G129">
        <f t="shared" si="4"/>
        <v>-5718.1253936719204</v>
      </c>
      <c r="H129">
        <f t="shared" si="5"/>
        <v>77885.961692500103</v>
      </c>
    </row>
    <row r="130" spans="1:8" x14ac:dyDescent="0.2">
      <c r="A130">
        <v>292.975830078125</v>
      </c>
      <c r="B130">
        <v>-88.435462951660199</v>
      </c>
      <c r="C130">
        <v>1.21132721573649E-4</v>
      </c>
      <c r="D130" s="1">
        <v>2.7670944648037901E-7</v>
      </c>
      <c r="F130">
        <f t="shared" si="3"/>
        <v>1.2113272157364898E-7</v>
      </c>
      <c r="G130">
        <f t="shared" si="4"/>
        <v>-7037.4705366884491</v>
      </c>
      <c r="H130">
        <f t="shared" si="5"/>
        <v>75143.435921172815</v>
      </c>
    </row>
    <row r="131" spans="1:8" x14ac:dyDescent="0.2">
      <c r="A131">
        <v>292.97630310058599</v>
      </c>
      <c r="B131">
        <v>-108.964469909668</v>
      </c>
      <c r="C131">
        <v>1.16076065244529E-4</v>
      </c>
      <c r="D131" s="1">
        <v>3.7282832869469E-7</v>
      </c>
      <c r="F131">
        <f t="shared" si="3"/>
        <v>1.16076065244529E-7</v>
      </c>
      <c r="G131">
        <f t="shared" si="4"/>
        <v>-8671.1170037558768</v>
      </c>
      <c r="H131">
        <f t="shared" si="5"/>
        <v>72006.591260982503</v>
      </c>
    </row>
    <row r="132" spans="1:8" x14ac:dyDescent="0.2">
      <c r="A132">
        <v>292.97598266601602</v>
      </c>
      <c r="B132">
        <v>-133.91526031494101</v>
      </c>
      <c r="C132">
        <v>1.09645753485285E-4</v>
      </c>
      <c r="D132" s="1">
        <v>3.46647168744342E-7</v>
      </c>
      <c r="F132">
        <f t="shared" si="3"/>
        <v>1.0964575348528501E-7</v>
      </c>
      <c r="G132">
        <f t="shared" si="4"/>
        <v>-10656.637817280392</v>
      </c>
      <c r="H132">
        <f t="shared" si="5"/>
        <v>68017.613606087398</v>
      </c>
    </row>
    <row r="133" spans="1:8" x14ac:dyDescent="0.2">
      <c r="A133">
        <v>292.97593688964798</v>
      </c>
      <c r="B133">
        <v>-164.77687072753901</v>
      </c>
      <c r="C133">
        <v>1.00797921267389E-4</v>
      </c>
      <c r="D133" s="1">
        <v>3.69347188905961E-7</v>
      </c>
      <c r="F133">
        <f t="shared" si="3"/>
        <v>1.00797921267389E-7</v>
      </c>
      <c r="G133">
        <f t="shared" si="4"/>
        <v>-13112.526741751033</v>
      </c>
      <c r="H133">
        <f t="shared" si="5"/>
        <v>62528.952039918244</v>
      </c>
    </row>
    <row r="134" spans="1:8" x14ac:dyDescent="0.2">
      <c r="A134">
        <v>292.97647094726602</v>
      </c>
      <c r="B134">
        <v>-202.98389434814499</v>
      </c>
      <c r="C134" s="1">
        <v>8.9882843201017897E-5</v>
      </c>
      <c r="D134" s="1">
        <v>2.7251785972385702E-7</v>
      </c>
      <c r="F134">
        <f t="shared" si="3"/>
        <v>8.9882843201017897E-8</v>
      </c>
      <c r="G134">
        <f t="shared" si="4"/>
        <v>-16152.945076775157</v>
      </c>
      <c r="H134">
        <f t="shared" si="5"/>
        <v>55757.895808375768</v>
      </c>
    </row>
    <row r="135" spans="1:8" x14ac:dyDescent="0.2">
      <c r="A135">
        <v>292.97525024414102</v>
      </c>
      <c r="B135">
        <v>-249.88011932373001</v>
      </c>
      <c r="C135" s="1">
        <v>7.4533628813625599E-5</v>
      </c>
      <c r="D135" s="1">
        <v>3.24503520512822E-7</v>
      </c>
      <c r="F135">
        <f t="shared" si="3"/>
        <v>7.4533628813625595E-8</v>
      </c>
      <c r="G135">
        <f t="shared" si="4"/>
        <v>-19884.828085382134</v>
      </c>
      <c r="H135">
        <f t="shared" si="5"/>
        <v>46236.168790477539</v>
      </c>
    </row>
    <row r="136" spans="1:8" x14ac:dyDescent="0.2">
      <c r="A136">
        <v>292.97592163085898</v>
      </c>
      <c r="B136">
        <v>-307.59921264648398</v>
      </c>
      <c r="C136" s="1">
        <v>5.4939364995117E-5</v>
      </c>
      <c r="D136" s="1">
        <v>4.3349373465393399E-7</v>
      </c>
      <c r="F136">
        <f t="shared" si="3"/>
        <v>5.4939364995117001E-8</v>
      </c>
      <c r="G136">
        <f t="shared" si="4"/>
        <v>-24477.967591931483</v>
      </c>
      <c r="H136">
        <f t="shared" si="5"/>
        <v>34081.069090406454</v>
      </c>
    </row>
    <row r="137" spans="1:8" x14ac:dyDescent="0.2">
      <c r="A137">
        <v>292.97589111328102</v>
      </c>
      <c r="B137">
        <v>-378.54733276367199</v>
      </c>
      <c r="C137" s="1">
        <v>2.72184807585275E-5</v>
      </c>
      <c r="D137" s="1">
        <v>3.60883755603279E-7</v>
      </c>
      <c r="F137">
        <f t="shared" ref="F137:F200" si="6">C137/1000</f>
        <v>2.72184807585275E-8</v>
      </c>
      <c r="G137">
        <f t="shared" ref="G137:G200" si="7">(B137*1000)/(4*PI())</f>
        <v>-30123.839601795491</v>
      </c>
      <c r="H137">
        <f t="shared" ref="H137:H200" si="8">F137/$G$4</f>
        <v>16884.704134270978</v>
      </c>
    </row>
    <row r="138" spans="1:8" x14ac:dyDescent="0.2">
      <c r="A138">
        <v>292.976806640625</v>
      </c>
      <c r="B138">
        <v>-466.35633850097702</v>
      </c>
      <c r="C138" s="1">
        <v>-8.0001087562525504E-6</v>
      </c>
      <c r="D138" s="1">
        <v>5.4005784594102703E-7</v>
      </c>
      <c r="F138">
        <f t="shared" si="6"/>
        <v>-8.0001087562525503E-9</v>
      </c>
      <c r="G138">
        <f t="shared" si="7"/>
        <v>-37111.458257333841</v>
      </c>
      <c r="H138">
        <f t="shared" si="8"/>
        <v>-4962.7850499699452</v>
      </c>
    </row>
    <row r="139" spans="1:8" x14ac:dyDescent="0.2">
      <c r="A139">
        <v>292.97598266601602</v>
      </c>
      <c r="B139">
        <v>-573.77728271484398</v>
      </c>
      <c r="C139" s="1">
        <v>-6.0548746084813102E-5</v>
      </c>
      <c r="D139" s="1">
        <v>4.7929016389655601E-7</v>
      </c>
      <c r="F139">
        <f t="shared" si="6"/>
        <v>-6.0548746084813105E-8</v>
      </c>
      <c r="G139">
        <f t="shared" si="7"/>
        <v>-45659.745388951669</v>
      </c>
      <c r="H139">
        <f t="shared" si="8"/>
        <v>-37560.790861659974</v>
      </c>
    </row>
    <row r="140" spans="1:8" x14ac:dyDescent="0.2">
      <c r="A140">
        <v>292.97688293457003</v>
      </c>
      <c r="B140">
        <v>-706.53030395507801</v>
      </c>
      <c r="C140">
        <v>-1.23870012772761E-4</v>
      </c>
      <c r="D140" s="1">
        <v>3.3866826790785999E-7</v>
      </c>
      <c r="F140">
        <f t="shared" si="6"/>
        <v>-1.23870012772761E-7</v>
      </c>
      <c r="G140">
        <f t="shared" si="7"/>
        <v>-56223.895159334978</v>
      </c>
      <c r="H140">
        <f t="shared" si="8"/>
        <v>-76841.486317019022</v>
      </c>
    </row>
    <row r="141" spans="1:8" x14ac:dyDescent="0.2">
      <c r="A141">
        <v>292.97581481933599</v>
      </c>
      <c r="B141">
        <v>-870.19949340820301</v>
      </c>
      <c r="C141">
        <v>-1.8779071874149499E-4</v>
      </c>
      <c r="D141" s="1">
        <v>4.10363938628871E-7</v>
      </c>
      <c r="F141">
        <f t="shared" si="6"/>
        <v>-1.87790718741495E-7</v>
      </c>
      <c r="G141">
        <f t="shared" si="7"/>
        <v>-69248.275425989355</v>
      </c>
      <c r="H141">
        <f t="shared" si="8"/>
        <v>-116494.03775480144</v>
      </c>
    </row>
    <row r="142" spans="1:8" x14ac:dyDescent="0.2">
      <c r="A142">
        <v>292.97479248046898</v>
      </c>
      <c r="B142">
        <v>-1071.8759155273401</v>
      </c>
      <c r="C142">
        <v>-2.5605632087132002E-4</v>
      </c>
      <c r="D142" s="1">
        <v>3.5958816683056099E-7</v>
      </c>
      <c r="F142">
        <f t="shared" si="6"/>
        <v>-2.5605632087132E-7</v>
      </c>
      <c r="G142">
        <f t="shared" si="7"/>
        <v>-85297.175168663511</v>
      </c>
      <c r="H142">
        <f t="shared" si="8"/>
        <v>-158841.90076507739</v>
      </c>
    </row>
    <row r="143" spans="1:8" x14ac:dyDescent="0.2">
      <c r="A143">
        <v>292.97593688964798</v>
      </c>
      <c r="B143">
        <v>-1319.8311157226599</v>
      </c>
      <c r="C143">
        <v>-3.1388734350333298E-4</v>
      </c>
      <c r="D143" s="1">
        <v>2.78673164614347E-7</v>
      </c>
      <c r="F143">
        <f t="shared" si="6"/>
        <v>-3.1388734350333298E-7</v>
      </c>
      <c r="G143">
        <f t="shared" si="7"/>
        <v>-105028.82305687634</v>
      </c>
      <c r="H143">
        <f t="shared" si="8"/>
        <v>-194716.77988072915</v>
      </c>
    </row>
    <row r="144" spans="1:8" x14ac:dyDescent="0.2">
      <c r="A144">
        <v>292.97674560546898</v>
      </c>
      <c r="B144">
        <v>-1625.2421264648401</v>
      </c>
      <c r="C144">
        <v>-3.6826922796610097E-4</v>
      </c>
      <c r="D144" s="1">
        <v>3.8083356134962201E-7</v>
      </c>
      <c r="F144">
        <f t="shared" si="6"/>
        <v>-3.6826922796610095E-7</v>
      </c>
      <c r="G144">
        <f t="shared" si="7"/>
        <v>-129332.6590740313</v>
      </c>
      <c r="H144">
        <f t="shared" si="8"/>
        <v>-228452.02166604693</v>
      </c>
    </row>
    <row r="145" spans="1:8" x14ac:dyDescent="0.2">
      <c r="A145">
        <v>292.97506713867199</v>
      </c>
      <c r="B145">
        <v>-2001.42883300781</v>
      </c>
      <c r="C145">
        <v>-4.1693180727430101E-4</v>
      </c>
      <c r="D145" s="1">
        <v>3.0507307084844398E-7</v>
      </c>
      <c r="F145">
        <f t="shared" si="6"/>
        <v>-4.1693180727430098E-7</v>
      </c>
      <c r="G145">
        <f t="shared" si="7"/>
        <v>-159268.64600991824</v>
      </c>
      <c r="H145">
        <f t="shared" si="8"/>
        <v>-258639.35141890362</v>
      </c>
    </row>
    <row r="146" spans="1:8" x14ac:dyDescent="0.2">
      <c r="A146">
        <v>292.97712707519503</v>
      </c>
      <c r="B146">
        <v>-2464.6163330078102</v>
      </c>
      <c r="C146">
        <v>-4.6087437440590798E-4</v>
      </c>
      <c r="D146" s="1">
        <v>3.3801419095869201E-7</v>
      </c>
      <c r="F146">
        <f t="shared" si="6"/>
        <v>-4.6087437440590799E-7</v>
      </c>
      <c r="G146">
        <f t="shared" si="7"/>
        <v>-196127.93611160689</v>
      </c>
      <c r="H146">
        <f t="shared" si="8"/>
        <v>-285898.67024348833</v>
      </c>
    </row>
    <row r="147" spans="1:8" x14ac:dyDescent="0.2">
      <c r="A147">
        <v>292.97705078125</v>
      </c>
      <c r="B147">
        <v>-3035.82421875</v>
      </c>
      <c r="C147">
        <v>-5.0174179746041605E-4</v>
      </c>
      <c r="D147" s="1">
        <v>3.5985314270780799E-7</v>
      </c>
      <c r="F147">
        <f t="shared" si="6"/>
        <v>-5.0174179746041609E-7</v>
      </c>
      <c r="G147">
        <f t="shared" si="7"/>
        <v>-241583.21538607695</v>
      </c>
      <c r="H147">
        <f t="shared" si="8"/>
        <v>-311250.35511992167</v>
      </c>
    </row>
    <row r="148" spans="1:8" x14ac:dyDescent="0.2">
      <c r="A148">
        <v>292.97575378417997</v>
      </c>
      <c r="B148">
        <v>-3738.45947265625</v>
      </c>
      <c r="C148">
        <v>-5.3852914686961298E-4</v>
      </c>
      <c r="D148" s="1">
        <v>3.0871964644609198E-7</v>
      </c>
      <c r="F148">
        <f t="shared" si="6"/>
        <v>-5.3852914686961301E-7</v>
      </c>
      <c r="G148">
        <f t="shared" si="7"/>
        <v>-297497.15231098124</v>
      </c>
      <c r="H148">
        <f t="shared" si="8"/>
        <v>-334071.0083433289</v>
      </c>
    </row>
    <row r="149" spans="1:8" x14ac:dyDescent="0.2">
      <c r="A149">
        <v>292.97723388671898</v>
      </c>
      <c r="B149">
        <v>-4603.3291015625</v>
      </c>
      <c r="C149">
        <v>-5.7367759945029797E-4</v>
      </c>
      <c r="D149" s="1">
        <v>2.9668021483897302E-7</v>
      </c>
      <c r="F149">
        <f t="shared" si="6"/>
        <v>-5.7367759945029792E-7</v>
      </c>
      <c r="G149">
        <f t="shared" si="7"/>
        <v>-366321.29059622268</v>
      </c>
      <c r="H149">
        <f t="shared" si="8"/>
        <v>-355874.98880305327</v>
      </c>
    </row>
    <row r="150" spans="1:8" x14ac:dyDescent="0.2">
      <c r="A150">
        <v>292.97566223144503</v>
      </c>
      <c r="B150">
        <v>-5669.11279296875</v>
      </c>
      <c r="C150">
        <v>-6.0758354334081502E-4</v>
      </c>
      <c r="D150" s="1">
        <v>3.7566532553245302E-7</v>
      </c>
      <c r="F150">
        <f t="shared" si="6"/>
        <v>-6.0758354334081507E-7</v>
      </c>
      <c r="G150">
        <f t="shared" si="7"/>
        <v>-451133.66197323863</v>
      </c>
      <c r="H150">
        <f t="shared" si="8"/>
        <v>-376908.19179713348</v>
      </c>
    </row>
    <row r="151" spans="1:8" x14ac:dyDescent="0.2">
      <c r="A151">
        <v>292.97738647460898</v>
      </c>
      <c r="B151">
        <v>-6981.7890625</v>
      </c>
      <c r="C151">
        <v>-6.3964784584364905E-4</v>
      </c>
      <c r="D151" s="1">
        <v>3.1235542268448202E-7</v>
      </c>
      <c r="F151">
        <f t="shared" si="6"/>
        <v>-6.3964784584364906E-7</v>
      </c>
      <c r="G151">
        <f t="shared" si="7"/>
        <v>-555593.12046090246</v>
      </c>
      <c r="H151">
        <f t="shared" si="8"/>
        <v>-396798.95152891969</v>
      </c>
    </row>
    <row r="152" spans="1:8" x14ac:dyDescent="0.2">
      <c r="A152">
        <v>292.97592163085898</v>
      </c>
      <c r="B152">
        <v>-8599.05029296875</v>
      </c>
      <c r="C152">
        <v>-6.70212992892401E-4</v>
      </c>
      <c r="D152" s="1">
        <v>4.6866226921722799E-7</v>
      </c>
      <c r="F152">
        <f t="shared" si="6"/>
        <v>-6.7021299289240095E-7</v>
      </c>
      <c r="G152">
        <f t="shared" si="7"/>
        <v>-684290.68001089373</v>
      </c>
      <c r="H152">
        <f t="shared" si="8"/>
        <v>-415759.72561903764</v>
      </c>
    </row>
    <row r="153" spans="1:8" x14ac:dyDescent="0.2">
      <c r="A153">
        <v>292.97633361816401</v>
      </c>
      <c r="B153">
        <v>-10589.1748046875</v>
      </c>
      <c r="C153">
        <v>-6.9864037006530202E-4</v>
      </c>
      <c r="D153" s="1">
        <v>4.21690207491482E-7</v>
      </c>
      <c r="F153">
        <f t="shared" si="6"/>
        <v>-6.9864037006530199E-7</v>
      </c>
      <c r="G153">
        <f t="shared" si="7"/>
        <v>-842659.75671508547</v>
      </c>
      <c r="H153">
        <f t="shared" si="8"/>
        <v>-433394.35618993687</v>
      </c>
    </row>
    <row r="154" spans="1:8" x14ac:dyDescent="0.2">
      <c r="A154">
        <v>292.97732543945301</v>
      </c>
      <c r="B154">
        <v>-13040.970703125</v>
      </c>
      <c r="C154">
        <v>-7.2476800476750799E-4</v>
      </c>
      <c r="D154" s="1">
        <v>5.1947717489796002E-7</v>
      </c>
      <c r="F154">
        <f t="shared" si="6"/>
        <v>-7.24768004767508E-7</v>
      </c>
      <c r="G154">
        <f t="shared" si="7"/>
        <v>-1037767.4750594669</v>
      </c>
      <c r="H154">
        <f t="shared" si="8"/>
        <v>-449602.36521104455</v>
      </c>
    </row>
    <row r="155" spans="1:8" x14ac:dyDescent="0.2">
      <c r="A155">
        <v>292.97666931152298</v>
      </c>
      <c r="B155">
        <v>-16060.6064453125</v>
      </c>
      <c r="C155">
        <v>-7.4841148544857504E-4</v>
      </c>
      <c r="D155" s="1">
        <v>6.1641902295392703E-7</v>
      </c>
      <c r="F155">
        <f t="shared" si="6"/>
        <v>-7.4841148544857505E-7</v>
      </c>
      <c r="G155">
        <f t="shared" si="7"/>
        <v>-1278062.4524125191</v>
      </c>
      <c r="H155">
        <f t="shared" si="8"/>
        <v>-464269.35487684712</v>
      </c>
    </row>
    <row r="156" spans="1:8" x14ac:dyDescent="0.2">
      <c r="A156">
        <v>292.97828674316401</v>
      </c>
      <c r="B156">
        <v>-19780.525390625</v>
      </c>
      <c r="C156">
        <v>-7.6700206840985496E-4</v>
      </c>
      <c r="D156" s="1">
        <v>7.8795749848663504E-7</v>
      </c>
      <c r="F156">
        <f t="shared" si="6"/>
        <v>-7.6700206840985501E-7</v>
      </c>
      <c r="G156">
        <f t="shared" si="7"/>
        <v>-1574084.1964363563</v>
      </c>
      <c r="H156">
        <f t="shared" si="8"/>
        <v>-475801.83149703796</v>
      </c>
    </row>
    <row r="157" spans="1:8" x14ac:dyDescent="0.2">
      <c r="A157">
        <v>292.97921752929699</v>
      </c>
      <c r="B157">
        <v>-24359.212890625</v>
      </c>
      <c r="C157">
        <v>-7.80917632640907E-4</v>
      </c>
      <c r="D157" s="1">
        <v>8.5118993809091705E-7</v>
      </c>
      <c r="F157">
        <f t="shared" si="6"/>
        <v>-7.8091763264090697E-7</v>
      </c>
      <c r="G157">
        <f t="shared" si="7"/>
        <v>-1938444.5706853927</v>
      </c>
      <c r="H157">
        <f t="shared" si="8"/>
        <v>-484434.20840988762</v>
      </c>
    </row>
    <row r="158" spans="1:8" x14ac:dyDescent="0.2">
      <c r="A158">
        <v>292.97810363769503</v>
      </c>
      <c r="B158">
        <v>-29999.4873046875</v>
      </c>
      <c r="C158">
        <v>-7.8882170161091302E-4</v>
      </c>
      <c r="D158" s="1">
        <v>7.9314066537005599E-7</v>
      </c>
      <c r="F158">
        <f t="shared" si="6"/>
        <v>-7.8882170161091301E-7</v>
      </c>
      <c r="G158">
        <f t="shared" si="7"/>
        <v>-2387283.3473817878</v>
      </c>
      <c r="H158">
        <f t="shared" si="8"/>
        <v>-489337.41616785963</v>
      </c>
    </row>
    <row r="159" spans="1:8" x14ac:dyDescent="0.2">
      <c r="A159">
        <v>292.979736328125</v>
      </c>
      <c r="B159">
        <v>-24359.685546875</v>
      </c>
      <c r="C159">
        <v>-7.8189245378463299E-4</v>
      </c>
      <c r="D159" s="1">
        <v>8.4559009178521897E-7</v>
      </c>
      <c r="F159">
        <f t="shared" si="6"/>
        <v>-7.8189245378463301E-7</v>
      </c>
      <c r="G159">
        <f t="shared" si="7"/>
        <v>-1938482.1834746781</v>
      </c>
      <c r="H159">
        <f t="shared" si="8"/>
        <v>-485038.92866380879</v>
      </c>
    </row>
    <row r="160" spans="1:8" x14ac:dyDescent="0.2">
      <c r="A160">
        <v>292.97882080078102</v>
      </c>
      <c r="B160">
        <v>-19779.5986328125</v>
      </c>
      <c r="C160">
        <v>-7.6860543103406099E-4</v>
      </c>
      <c r="D160" s="1">
        <v>8.8629759789255097E-7</v>
      </c>
      <c r="F160">
        <f t="shared" si="6"/>
        <v>-7.6860543103406094E-7</v>
      </c>
      <c r="G160">
        <f t="shared" si="7"/>
        <v>-1574010.4473929021</v>
      </c>
      <c r="H160">
        <f t="shared" si="8"/>
        <v>-476796.46098315221</v>
      </c>
    </row>
    <row r="161" spans="1:8" x14ac:dyDescent="0.2">
      <c r="A161">
        <v>292.97996520996099</v>
      </c>
      <c r="B161">
        <v>-16061.0791015625</v>
      </c>
      <c r="C161">
        <v>-7.4938299938735796E-4</v>
      </c>
      <c r="D161" s="1">
        <v>6.4473451468177395E-7</v>
      </c>
      <c r="F161">
        <f t="shared" si="6"/>
        <v>-7.4938299938735794E-7</v>
      </c>
      <c r="G161">
        <f t="shared" si="7"/>
        <v>-1278100.0652018047</v>
      </c>
      <c r="H161">
        <f t="shared" si="8"/>
        <v>-464872.02354025259</v>
      </c>
    </row>
    <row r="162" spans="1:8" x14ac:dyDescent="0.2">
      <c r="A162">
        <v>292.98196411132801</v>
      </c>
      <c r="B162">
        <v>-13041.2705078125</v>
      </c>
      <c r="C162">
        <v>-7.2744159554673097E-4</v>
      </c>
      <c r="D162" s="1">
        <v>5.0503758333820596E-7</v>
      </c>
      <c r="F162">
        <f t="shared" si="6"/>
        <v>-7.2744159554673099E-7</v>
      </c>
      <c r="G162">
        <f t="shared" si="7"/>
        <v>-1037791.3327584558</v>
      </c>
      <c r="H162">
        <f t="shared" si="8"/>
        <v>-451260.89970765315</v>
      </c>
    </row>
    <row r="163" spans="1:8" x14ac:dyDescent="0.2">
      <c r="A163">
        <v>292.98049926757801</v>
      </c>
      <c r="B163">
        <v>-10589.62890625</v>
      </c>
      <c r="C163">
        <v>-7.0092637597576597E-4</v>
      </c>
      <c r="D163" s="1">
        <v>5.24106754258729E-7</v>
      </c>
      <c r="F163">
        <f t="shared" si="6"/>
        <v>-7.0092637597576596E-7</v>
      </c>
      <c r="G163">
        <f t="shared" si="7"/>
        <v>-842695.89296925429</v>
      </c>
      <c r="H163">
        <f t="shared" si="8"/>
        <v>-434812.45640610292</v>
      </c>
    </row>
    <row r="164" spans="1:8" x14ac:dyDescent="0.2">
      <c r="A164">
        <v>292.98164367675798</v>
      </c>
      <c r="B164">
        <v>-8599.14111328125</v>
      </c>
      <c r="C164">
        <v>-6.7411878389223999E-4</v>
      </c>
      <c r="D164" s="1">
        <v>4.25104796635724E-7</v>
      </c>
      <c r="F164">
        <f t="shared" si="6"/>
        <v>-6.7411878389224003E-7</v>
      </c>
      <c r="G164">
        <f t="shared" si="7"/>
        <v>-684297.90726172749</v>
      </c>
      <c r="H164">
        <f t="shared" si="8"/>
        <v>-418182.6428284017</v>
      </c>
    </row>
    <row r="165" spans="1:8" x14ac:dyDescent="0.2">
      <c r="A165">
        <v>292.98152160644503</v>
      </c>
      <c r="B165">
        <v>-6982.0793457031205</v>
      </c>
      <c r="C165">
        <v>-6.4448457549316795E-4</v>
      </c>
      <c r="D165" s="1">
        <v>4.0805005448905299E-7</v>
      </c>
      <c r="F165">
        <f t="shared" si="6"/>
        <v>-6.4448457549316798E-7</v>
      </c>
      <c r="G165">
        <f t="shared" si="7"/>
        <v>-555616.22046423901</v>
      </c>
      <c r="H165">
        <f t="shared" si="8"/>
        <v>-399799.36693910003</v>
      </c>
    </row>
    <row r="166" spans="1:8" x14ac:dyDescent="0.2">
      <c r="A166">
        <v>292.98115539550798</v>
      </c>
      <c r="B166">
        <v>-5670.0661621093705</v>
      </c>
      <c r="C166">
        <v>-6.1420975273014905E-4</v>
      </c>
      <c r="D166" s="1">
        <v>4.1319253778761999E-7</v>
      </c>
      <c r="F166">
        <f t="shared" si="6"/>
        <v>-6.1420975273014906E-7</v>
      </c>
      <c r="G166">
        <f t="shared" si="7"/>
        <v>-451209.52867889911</v>
      </c>
      <c r="H166">
        <f t="shared" si="8"/>
        <v>-381018.69252872118</v>
      </c>
    </row>
    <row r="167" spans="1:8" x14ac:dyDescent="0.2">
      <c r="A167">
        <v>292.980224609375</v>
      </c>
      <c r="B167">
        <v>-4604.04638671875</v>
      </c>
      <c r="C167">
        <v>-5.8364232744976901E-4</v>
      </c>
      <c r="D167" s="1">
        <v>3.1682624765430802E-7</v>
      </c>
      <c r="F167">
        <f t="shared" si="6"/>
        <v>-5.8364232744976902E-7</v>
      </c>
      <c r="G167">
        <f t="shared" si="7"/>
        <v>-366378.3703353345</v>
      </c>
      <c r="H167">
        <f t="shared" si="8"/>
        <v>-362056.50516108301</v>
      </c>
    </row>
    <row r="168" spans="1:8" x14ac:dyDescent="0.2">
      <c r="A168">
        <v>292.98292541503901</v>
      </c>
      <c r="B168">
        <v>-3738.68627929687</v>
      </c>
      <c r="C168">
        <v>-5.5157022457886498E-4</v>
      </c>
      <c r="D168" s="1">
        <v>4.1490596356550198E-7</v>
      </c>
      <c r="F168">
        <f t="shared" si="6"/>
        <v>-5.5157022457886499E-7</v>
      </c>
      <c r="G168">
        <f t="shared" si="7"/>
        <v>-297515.20100997161</v>
      </c>
      <c r="H168">
        <f t="shared" si="8"/>
        <v>-342160.90655132383</v>
      </c>
    </row>
    <row r="169" spans="1:8" x14ac:dyDescent="0.2">
      <c r="A169">
        <v>292.98381042480497</v>
      </c>
      <c r="B169">
        <v>-3035.9693603515602</v>
      </c>
      <c r="C169">
        <v>-5.1956428256354898E-4</v>
      </c>
      <c r="D169" s="1">
        <v>2.8597952355956001E-7</v>
      </c>
      <c r="F169">
        <f t="shared" si="6"/>
        <v>-5.1956428256354902E-7</v>
      </c>
      <c r="G169">
        <f t="shared" si="7"/>
        <v>-241594.76538774522</v>
      </c>
      <c r="H169">
        <f t="shared" si="8"/>
        <v>-322306.35014674079</v>
      </c>
    </row>
    <row r="170" spans="1:8" x14ac:dyDescent="0.2">
      <c r="A170">
        <v>292.98219299316401</v>
      </c>
      <c r="B170">
        <v>-2464.9522705078102</v>
      </c>
      <c r="C170">
        <v>-4.8782296578332002E-4</v>
      </c>
      <c r="D170" s="1">
        <v>2.9689221383089701E-7</v>
      </c>
      <c r="F170">
        <f t="shared" si="6"/>
        <v>-4.8782296578332007E-7</v>
      </c>
      <c r="G170">
        <f t="shared" si="7"/>
        <v>-196154.66916845436</v>
      </c>
      <c r="H170">
        <f t="shared" si="8"/>
        <v>-302615.95128057973</v>
      </c>
    </row>
    <row r="171" spans="1:8" x14ac:dyDescent="0.2">
      <c r="A171">
        <v>292.98249816894503</v>
      </c>
      <c r="B171">
        <v>-2001.64672851562</v>
      </c>
      <c r="C171">
        <v>-4.5622122465865001E-4</v>
      </c>
      <c r="D171" s="1">
        <v>4.1123273994620102E-7</v>
      </c>
      <c r="F171">
        <f t="shared" si="6"/>
        <v>-4.5622122465865E-7</v>
      </c>
      <c r="G171">
        <f t="shared" si="7"/>
        <v>-159285.98558349101</v>
      </c>
      <c r="H171">
        <f t="shared" si="8"/>
        <v>-283012.13673443883</v>
      </c>
    </row>
    <row r="172" spans="1:8" x14ac:dyDescent="0.2">
      <c r="A172">
        <v>292.98348999023398</v>
      </c>
      <c r="B172">
        <v>-1624.77917480469</v>
      </c>
      <c r="C172">
        <v>-4.2556869882135801E-4</v>
      </c>
      <c r="D172" s="1">
        <v>2.87815016845057E-7</v>
      </c>
      <c r="F172">
        <f t="shared" si="6"/>
        <v>-4.2556869882135801E-7</v>
      </c>
      <c r="G172">
        <f t="shared" si="7"/>
        <v>-129295.81855146856</v>
      </c>
      <c r="H172">
        <f t="shared" si="8"/>
        <v>-263997.15811302466</v>
      </c>
    </row>
    <row r="173" spans="1:8" x14ac:dyDescent="0.2">
      <c r="A173">
        <v>292.98268127441401</v>
      </c>
      <c r="B173">
        <v>-1320.2578735351599</v>
      </c>
      <c r="C173">
        <v>-3.94187394055112E-4</v>
      </c>
      <c r="D173" s="1">
        <v>3.5354686225044402E-7</v>
      </c>
      <c r="F173">
        <f t="shared" si="6"/>
        <v>-3.9418739405511202E-7</v>
      </c>
      <c r="G173">
        <f t="shared" si="7"/>
        <v>-105062.78336455757</v>
      </c>
      <c r="H173">
        <f t="shared" si="8"/>
        <v>-244530.0889909009</v>
      </c>
    </row>
    <row r="174" spans="1:8" x14ac:dyDescent="0.2">
      <c r="A174">
        <v>292.98388671875</v>
      </c>
      <c r="B174">
        <v>-1071.66711425781</v>
      </c>
      <c r="C174">
        <v>-3.64322726825858E-4</v>
      </c>
      <c r="D174" s="1">
        <v>2.7076461722735099E-7</v>
      </c>
      <c r="F174">
        <f t="shared" si="6"/>
        <v>-3.6432272682585798E-7</v>
      </c>
      <c r="G174">
        <f t="shared" si="7"/>
        <v>-85280.559291578727</v>
      </c>
      <c r="H174">
        <f t="shared" si="8"/>
        <v>-226003.85034047841</v>
      </c>
    </row>
    <row r="175" spans="1:8" x14ac:dyDescent="0.2">
      <c r="A175">
        <v>292.98324584960898</v>
      </c>
      <c r="B175">
        <v>-870.65347290039097</v>
      </c>
      <c r="C175">
        <v>-3.3670935148002502E-4</v>
      </c>
      <c r="D175" s="1">
        <v>3.2998359799073602E-7</v>
      </c>
      <c r="F175">
        <f t="shared" si="6"/>
        <v>-3.3670935148002504E-7</v>
      </c>
      <c r="G175">
        <f t="shared" si="7"/>
        <v>-69284.401966111385</v>
      </c>
      <c r="H175">
        <f t="shared" si="8"/>
        <v>-208874.17741716918</v>
      </c>
    </row>
    <row r="176" spans="1:8" x14ac:dyDescent="0.2">
      <c r="A176">
        <v>292.98452758789102</v>
      </c>
      <c r="B176">
        <v>-706.87533569335903</v>
      </c>
      <c r="C176">
        <v>-3.1115285251226199E-4</v>
      </c>
      <c r="D176" s="1">
        <v>2.9349960269732502E-7</v>
      </c>
      <c r="F176">
        <f t="shared" si="6"/>
        <v>-3.1115285251226197E-7</v>
      </c>
      <c r="G176">
        <f t="shared" si="7"/>
        <v>-56251.351912670485</v>
      </c>
      <c r="H176">
        <f t="shared" si="8"/>
        <v>-193020.46656509349</v>
      </c>
    </row>
    <row r="177" spans="1:8" x14ac:dyDescent="0.2">
      <c r="A177">
        <v>292.98422241210898</v>
      </c>
      <c r="B177">
        <v>-574.09503173828102</v>
      </c>
      <c r="C177">
        <v>-2.87743280840933E-4</v>
      </c>
      <c r="D177" s="1">
        <v>3.2467890440916002E-7</v>
      </c>
      <c r="F177">
        <f t="shared" si="6"/>
        <v>-2.8774328084093298E-7</v>
      </c>
      <c r="G177">
        <f t="shared" si="7"/>
        <v>-45685.031052822982</v>
      </c>
      <c r="H177">
        <f t="shared" si="8"/>
        <v>-178498.57994375567</v>
      </c>
    </row>
    <row r="178" spans="1:8" x14ac:dyDescent="0.2">
      <c r="A178">
        <v>292.98353576660202</v>
      </c>
      <c r="B178">
        <v>-466.14747619628901</v>
      </c>
      <c r="C178">
        <v>-2.6337202511648002E-4</v>
      </c>
      <c r="D178" s="1">
        <v>2.97591740839828E-7</v>
      </c>
      <c r="F178">
        <f t="shared" si="6"/>
        <v>-2.6337202511648E-7</v>
      </c>
      <c r="G178">
        <f t="shared" si="7"/>
        <v>-37094.837523225506</v>
      </c>
      <c r="H178">
        <f t="shared" si="8"/>
        <v>-163380.12252731356</v>
      </c>
    </row>
    <row r="179" spans="1:8" x14ac:dyDescent="0.2">
      <c r="A179">
        <v>292.98475646972702</v>
      </c>
      <c r="B179">
        <v>-378.72895812988298</v>
      </c>
      <c r="C179">
        <v>-2.46438039236253E-4</v>
      </c>
      <c r="D179" s="1">
        <v>3.34436403074719E-7</v>
      </c>
      <c r="F179">
        <f t="shared" si="6"/>
        <v>-2.4643803923625301E-7</v>
      </c>
      <c r="G179">
        <f t="shared" si="7"/>
        <v>-30138.292889207169</v>
      </c>
      <c r="H179">
        <f t="shared" si="8"/>
        <v>-152875.29884012174</v>
      </c>
    </row>
    <row r="180" spans="1:8" x14ac:dyDescent="0.2">
      <c r="A180">
        <v>292.98426818847702</v>
      </c>
      <c r="B180">
        <v>-307.43580627441401</v>
      </c>
      <c r="C180">
        <v>-2.2803176597706201E-4</v>
      </c>
      <c r="D180" s="1">
        <v>3.5738036149274397E-7</v>
      </c>
      <c r="F180">
        <f t="shared" si="6"/>
        <v>-2.2803176597706202E-7</v>
      </c>
      <c r="G180">
        <f t="shared" si="7"/>
        <v>-24464.964126007661</v>
      </c>
      <c r="H180">
        <f t="shared" si="8"/>
        <v>-141457.15684486672</v>
      </c>
    </row>
    <row r="181" spans="1:8" x14ac:dyDescent="0.2">
      <c r="A181">
        <v>292.98327636718801</v>
      </c>
      <c r="B181">
        <v>-249.498779296875</v>
      </c>
      <c r="C181">
        <v>-2.14360665415486E-4</v>
      </c>
      <c r="D181" s="1">
        <v>2.74099204966096E-7</v>
      </c>
      <c r="F181">
        <f t="shared" si="6"/>
        <v>-2.1436066541548602E-7</v>
      </c>
      <c r="G181">
        <f t="shared" si="7"/>
        <v>-19854.482010245749</v>
      </c>
      <c r="H181">
        <f t="shared" si="8"/>
        <v>-132976.43045091626</v>
      </c>
    </row>
    <row r="182" spans="1:8" x14ac:dyDescent="0.2">
      <c r="A182">
        <v>292.98385620117199</v>
      </c>
      <c r="B182">
        <v>-202.82046508789099</v>
      </c>
      <c r="C182">
        <v>-2.00712822632644E-4</v>
      </c>
      <c r="D182" s="1">
        <v>3.00425941023913E-7</v>
      </c>
      <c r="F182">
        <f t="shared" si="6"/>
        <v>-2.0071282263264401E-7</v>
      </c>
      <c r="G182">
        <f t="shared" si="7"/>
        <v>-16139.939789467518</v>
      </c>
      <c r="H182">
        <f t="shared" si="8"/>
        <v>-124510.13178040224</v>
      </c>
    </row>
    <row r="183" spans="1:8" x14ac:dyDescent="0.2">
      <c r="A183">
        <v>292.98468017578102</v>
      </c>
      <c r="B183">
        <v>-164.87673950195301</v>
      </c>
      <c r="C183">
        <v>-1.8876598204332001E-4</v>
      </c>
      <c r="D183" s="1">
        <v>3.3799101206742402E-7</v>
      </c>
      <c r="F183">
        <f t="shared" si="6"/>
        <v>-1.8876598204332002E-7</v>
      </c>
      <c r="G183">
        <f t="shared" si="7"/>
        <v>-13120.474046305291</v>
      </c>
      <c r="H183">
        <f t="shared" si="8"/>
        <v>-117099.03229694423</v>
      </c>
    </row>
    <row r="184" spans="1:8" x14ac:dyDescent="0.2">
      <c r="A184">
        <v>292.98335266113298</v>
      </c>
      <c r="B184">
        <v>-133.76090240478501</v>
      </c>
      <c r="C184">
        <v>-1.7973911600154701E-4</v>
      </c>
      <c r="D184" s="1">
        <v>3.4782896111941799E-7</v>
      </c>
      <c r="F184">
        <f t="shared" si="6"/>
        <v>-1.7973911600154702E-7</v>
      </c>
      <c r="G184">
        <f t="shared" si="7"/>
        <v>-10644.354405077063</v>
      </c>
      <c r="H184">
        <f t="shared" si="8"/>
        <v>-111499.3089425361</v>
      </c>
    </row>
    <row r="185" spans="1:8" x14ac:dyDescent="0.2">
      <c r="A185">
        <v>292.98513793945301</v>
      </c>
      <c r="B185">
        <v>-108.964477539062</v>
      </c>
      <c r="C185">
        <v>-1.72175269285805E-4</v>
      </c>
      <c r="D185" s="1">
        <v>3.1676902048390901E-7</v>
      </c>
      <c r="F185">
        <f t="shared" si="6"/>
        <v>-1.72175269285805E-7</v>
      </c>
      <c r="G185">
        <f t="shared" si="7"/>
        <v>-8671.1176108837608</v>
      </c>
      <c r="H185">
        <f t="shared" si="8"/>
        <v>-106807.15455503344</v>
      </c>
    </row>
    <row r="186" spans="1:8" x14ac:dyDescent="0.2">
      <c r="A186">
        <v>292.98532104492199</v>
      </c>
      <c r="B186">
        <v>-88.707851409912095</v>
      </c>
      <c r="C186">
        <v>-1.6435896567414799E-4</v>
      </c>
      <c r="D186" s="1">
        <v>3.7728827791898602E-7</v>
      </c>
      <c r="F186">
        <f t="shared" si="6"/>
        <v>-1.6435896567414799E-7</v>
      </c>
      <c r="G186">
        <f t="shared" si="7"/>
        <v>-7059.1465214744339</v>
      </c>
      <c r="H186">
        <f t="shared" si="8"/>
        <v>-101958.39113295617</v>
      </c>
    </row>
    <row r="187" spans="1:8" x14ac:dyDescent="0.2">
      <c r="A187">
        <v>292.98472595214798</v>
      </c>
      <c r="B187">
        <v>-71.683570861816406</v>
      </c>
      <c r="C187">
        <v>-1.5820650777787301E-4</v>
      </c>
      <c r="D187" s="1">
        <v>2.7216666397320899E-7</v>
      </c>
      <c r="F187">
        <f t="shared" si="6"/>
        <v>-1.5820650777787302E-7</v>
      </c>
      <c r="G187">
        <f t="shared" si="7"/>
        <v>-5704.3973205681186</v>
      </c>
      <c r="H187">
        <f t="shared" si="8"/>
        <v>-98141.777259508584</v>
      </c>
    </row>
    <row r="188" spans="1:8" x14ac:dyDescent="0.2">
      <c r="A188">
        <v>292.98550415039102</v>
      </c>
      <c r="B188">
        <v>-58.581682205200202</v>
      </c>
      <c r="C188">
        <v>-1.52137792727241E-4</v>
      </c>
      <c r="D188" s="1">
        <v>3.47607127274932E-7</v>
      </c>
      <c r="F188">
        <f t="shared" si="6"/>
        <v>-1.5213779272724099E-7</v>
      </c>
      <c r="G188">
        <f t="shared" si="7"/>
        <v>-4661.7821487980682</v>
      </c>
      <c r="H188">
        <f t="shared" si="8"/>
        <v>-94377.112397638368</v>
      </c>
    </row>
    <row r="189" spans="1:8" x14ac:dyDescent="0.2">
      <c r="A189">
        <v>292.98498535156199</v>
      </c>
      <c r="B189">
        <v>-47.767860412597699</v>
      </c>
      <c r="C189">
        <v>-1.4794030990780601E-4</v>
      </c>
      <c r="D189" s="1">
        <v>2.9658825921489E-7</v>
      </c>
      <c r="F189">
        <f t="shared" si="6"/>
        <v>-1.4794030990780602E-7</v>
      </c>
      <c r="G189">
        <f t="shared" si="7"/>
        <v>-3801.2455527942934</v>
      </c>
      <c r="H189">
        <f t="shared" si="8"/>
        <v>-91773.247172991672</v>
      </c>
    </row>
    <row r="190" spans="1:8" x14ac:dyDescent="0.2">
      <c r="A190">
        <v>292.98623657226602</v>
      </c>
      <c r="B190">
        <v>-38.951553344726598</v>
      </c>
      <c r="C190">
        <v>-1.4413576423253301E-4</v>
      </c>
      <c r="D190" s="1">
        <v>2.70121337972548E-7</v>
      </c>
      <c r="F190">
        <f t="shared" si="6"/>
        <v>-1.4413576423253302E-7</v>
      </c>
      <c r="G190">
        <f t="shared" si="7"/>
        <v>-3099.6661279604436</v>
      </c>
      <c r="H190">
        <f t="shared" si="8"/>
        <v>-89413.136457694724</v>
      </c>
    </row>
    <row r="191" spans="1:8" x14ac:dyDescent="0.2">
      <c r="A191">
        <v>292.98606872558599</v>
      </c>
      <c r="B191">
        <v>-31.633381843566902</v>
      </c>
      <c r="C191">
        <v>-1.40776410782927E-4</v>
      </c>
      <c r="D191" s="1">
        <v>3.3667156448472098E-7</v>
      </c>
      <c r="F191">
        <f t="shared" si="6"/>
        <v>-1.40776410782927E-7</v>
      </c>
      <c r="G191">
        <f t="shared" si="7"/>
        <v>-2517.3045435585427</v>
      </c>
      <c r="H191">
        <f t="shared" si="8"/>
        <v>-87329.196153228258</v>
      </c>
    </row>
    <row r="192" spans="1:8" x14ac:dyDescent="0.2">
      <c r="A192">
        <v>292.98515319824202</v>
      </c>
      <c r="B192">
        <v>-25.731632232666001</v>
      </c>
      <c r="C192">
        <v>-1.37513491414259E-4</v>
      </c>
      <c r="D192" s="1">
        <v>3.4118348964032E-7</v>
      </c>
      <c r="F192">
        <f t="shared" si="6"/>
        <v>-1.3751349141425899E-7</v>
      </c>
      <c r="G192">
        <f t="shared" si="7"/>
        <v>-2047.6582318257686</v>
      </c>
      <c r="H192">
        <f t="shared" si="8"/>
        <v>-85305.077737409592</v>
      </c>
    </row>
    <row r="193" spans="1:8" x14ac:dyDescent="0.2">
      <c r="A193">
        <v>292.98527526855497</v>
      </c>
      <c r="B193">
        <v>-21.055630683898901</v>
      </c>
      <c r="C193">
        <v>-1.3578073034766999E-4</v>
      </c>
      <c r="D193" s="1">
        <v>3.0726782952447903E-7</v>
      </c>
      <c r="F193">
        <f t="shared" si="6"/>
        <v>-1.3578073034766998E-7</v>
      </c>
      <c r="G193">
        <f t="shared" si="7"/>
        <v>-1675.5538516299475</v>
      </c>
      <c r="H193">
        <f t="shared" si="8"/>
        <v>-84230.177260623313</v>
      </c>
    </row>
    <row r="194" spans="1:8" x14ac:dyDescent="0.2">
      <c r="A194">
        <v>292.98547363281199</v>
      </c>
      <c r="B194">
        <v>-17.042439460754402</v>
      </c>
      <c r="C194">
        <v>-1.3344803356693099E-4</v>
      </c>
      <c r="D194" s="1">
        <v>3.0017998240676202E-7</v>
      </c>
      <c r="F194">
        <f t="shared" si="6"/>
        <v>-1.3344803356693099E-7</v>
      </c>
      <c r="G194">
        <f t="shared" si="7"/>
        <v>-1356.1942412617191</v>
      </c>
      <c r="H194">
        <f t="shared" si="8"/>
        <v>-82783.112844090647</v>
      </c>
    </row>
    <row r="195" spans="1:8" x14ac:dyDescent="0.2">
      <c r="A195">
        <v>292.98439025878901</v>
      </c>
      <c r="B195">
        <v>-14.0098476409912</v>
      </c>
      <c r="C195">
        <v>-1.3212676257654801E-4</v>
      </c>
      <c r="D195" s="1">
        <v>2.8625002303442299E-7</v>
      </c>
      <c r="F195">
        <f t="shared" si="6"/>
        <v>-1.3212676257654802E-7</v>
      </c>
      <c r="G195">
        <f t="shared" si="7"/>
        <v>-1114.8682520140394</v>
      </c>
      <c r="H195">
        <f t="shared" si="8"/>
        <v>-81963.475996915688</v>
      </c>
    </row>
    <row r="196" spans="1:8" x14ac:dyDescent="0.2">
      <c r="A196">
        <v>292.98519897460898</v>
      </c>
      <c r="B196">
        <v>-11.467555522918699</v>
      </c>
      <c r="C196">
        <v>-1.3036457021429099E-4</v>
      </c>
      <c r="D196" s="1">
        <v>4.0576922226884402E-7</v>
      </c>
      <c r="F196">
        <f t="shared" si="6"/>
        <v>-1.3036457021429099E-7</v>
      </c>
      <c r="G196">
        <f t="shared" si="7"/>
        <v>-912.55907332663787</v>
      </c>
      <c r="H196">
        <f t="shared" si="8"/>
        <v>-80870.318119062416</v>
      </c>
    </row>
    <row r="197" spans="1:8" x14ac:dyDescent="0.2">
      <c r="A197">
        <v>292.98532104492199</v>
      </c>
      <c r="B197">
        <v>-9.3156862258911097</v>
      </c>
      <c r="C197">
        <v>-1.2908796279846401E-4</v>
      </c>
      <c r="D197" s="1">
        <v>3.09806496061576E-7</v>
      </c>
      <c r="F197">
        <f t="shared" si="6"/>
        <v>-1.2908796279846402E-7</v>
      </c>
      <c r="G197">
        <f t="shared" si="7"/>
        <v>-741.31875557182639</v>
      </c>
      <c r="H197">
        <f t="shared" si="8"/>
        <v>-80078.387860239964</v>
      </c>
    </row>
    <row r="198" spans="1:8" x14ac:dyDescent="0.2">
      <c r="A198">
        <v>292.98538208007801</v>
      </c>
      <c r="B198">
        <v>-7.7358331680297896</v>
      </c>
      <c r="C198">
        <v>-1.2807861535544699E-4</v>
      </c>
      <c r="D198" s="1">
        <v>3.52596028501274E-7</v>
      </c>
      <c r="F198">
        <f t="shared" si="6"/>
        <v>-1.28078615355447E-7</v>
      </c>
      <c r="G198">
        <f t="shared" si="7"/>
        <v>-615.59804381308879</v>
      </c>
      <c r="H198">
        <f t="shared" si="8"/>
        <v>-79452.249572242901</v>
      </c>
    </row>
    <row r="199" spans="1:8" x14ac:dyDescent="0.2">
      <c r="A199">
        <v>292.98573303222702</v>
      </c>
      <c r="B199">
        <v>-6.5100846290588397</v>
      </c>
      <c r="C199">
        <v>-1.2702159926117901E-4</v>
      </c>
      <c r="D199" s="1">
        <v>3.1027553439732002E-7</v>
      </c>
      <c r="F199">
        <f t="shared" si="6"/>
        <v>-1.2702159926117902E-7</v>
      </c>
      <c r="G199">
        <f t="shared" si="7"/>
        <v>-518.05607433064108</v>
      </c>
      <c r="H199">
        <f t="shared" si="8"/>
        <v>-78796.540527523874</v>
      </c>
    </row>
    <row r="200" spans="1:8" x14ac:dyDescent="0.2">
      <c r="A200">
        <v>292.98580932617199</v>
      </c>
      <c r="B200">
        <v>-5.3206553459167498</v>
      </c>
      <c r="C200">
        <v>-1.2617549100854E-4</v>
      </c>
      <c r="D200" s="1">
        <v>3.2931930393432499E-7</v>
      </c>
      <c r="F200">
        <f t="shared" si="6"/>
        <v>-1.2617549100854001E-7</v>
      </c>
      <c r="G200">
        <f t="shared" si="7"/>
        <v>-423.40429939548454</v>
      </c>
      <c r="H200">
        <f t="shared" si="8"/>
        <v>-78271.665989590707</v>
      </c>
    </row>
    <row r="201" spans="1:8" x14ac:dyDescent="0.2">
      <c r="A201">
        <v>292.98480224609398</v>
      </c>
      <c r="B201">
        <v>-4.3945341110229501</v>
      </c>
      <c r="C201">
        <v>-1.2544636061947201E-4</v>
      </c>
      <c r="D201" s="1">
        <v>3.45698213828051E-7</v>
      </c>
      <c r="F201">
        <f t="shared" ref="F201:F257" si="9">C201/1000</f>
        <v>-1.2544636061947199E-7</v>
      </c>
      <c r="G201">
        <f t="shared" ref="G201:G257" si="10">(B201*1000)/(4*PI())</f>
        <v>-349.70591317762523</v>
      </c>
      <c r="H201">
        <f t="shared" ref="H201:H257" si="11">F201/$G$4</f>
        <v>-77819.357464220055</v>
      </c>
    </row>
    <row r="202" spans="1:8" x14ac:dyDescent="0.2">
      <c r="A202">
        <v>292.98609924316401</v>
      </c>
      <c r="B202">
        <v>-3.4593337774276698</v>
      </c>
      <c r="C202">
        <v>-1.2447570599568501E-4</v>
      </c>
      <c r="D202" s="1">
        <v>2.9471822915070899E-7</v>
      </c>
      <c r="F202">
        <f t="shared" si="9"/>
        <v>-1.24475705995685E-7</v>
      </c>
      <c r="G202">
        <f t="shared" si="10"/>
        <v>-275.28503524118605</v>
      </c>
      <c r="H202">
        <f t="shared" si="11"/>
        <v>-77217.221868019638</v>
      </c>
    </row>
    <row r="203" spans="1:8" x14ac:dyDescent="0.2">
      <c r="A203">
        <v>292.98722839355497</v>
      </c>
      <c r="B203">
        <v>-2.9327160120010398</v>
      </c>
      <c r="C203">
        <v>-1.2377858713834899E-4</v>
      </c>
      <c r="D203" s="1">
        <v>3.65968070395728E-7</v>
      </c>
      <c r="F203">
        <f t="shared" si="9"/>
        <v>-1.2377858713834899E-7</v>
      </c>
      <c r="G203">
        <f t="shared" si="10"/>
        <v>-233.37812499735787</v>
      </c>
      <c r="H203">
        <f t="shared" si="11"/>
        <v>-76784.771366576722</v>
      </c>
    </row>
    <row r="204" spans="1:8" x14ac:dyDescent="0.2">
      <c r="A204">
        <v>292.98750305175798</v>
      </c>
      <c r="B204">
        <v>-2.4151779413223302</v>
      </c>
      <c r="C204">
        <v>-1.22867313789893E-4</v>
      </c>
      <c r="D204" s="1">
        <v>3.1142038122115202E-7</v>
      </c>
      <c r="F204">
        <f t="shared" si="9"/>
        <v>-1.2286731378989299E-7</v>
      </c>
      <c r="G204">
        <f t="shared" si="10"/>
        <v>-192.19375390397821</v>
      </c>
      <c r="H204">
        <f t="shared" si="11"/>
        <v>-76219.472332783087</v>
      </c>
    </row>
    <row r="205" spans="1:8" x14ac:dyDescent="0.2">
      <c r="A205">
        <v>292.9873046875</v>
      </c>
      <c r="B205">
        <v>-2.4605760574340798</v>
      </c>
      <c r="C205">
        <v>-1.23051584102835E-4</v>
      </c>
      <c r="D205" s="1">
        <v>3.2479571099988301E-7</v>
      </c>
      <c r="F205">
        <f t="shared" si="9"/>
        <v>-1.23051584102835E-7</v>
      </c>
      <c r="G205">
        <f t="shared" si="10"/>
        <v>-195.80642119710058</v>
      </c>
      <c r="H205">
        <f t="shared" si="11"/>
        <v>-76333.782523067333</v>
      </c>
    </row>
    <row r="206" spans="1:8" x14ac:dyDescent="0.2">
      <c r="A206">
        <v>292.98771667480497</v>
      </c>
      <c r="B206">
        <v>-1.7705251574516301</v>
      </c>
      <c r="C206">
        <v>-1.22507954907924E-4</v>
      </c>
      <c r="D206" s="1">
        <v>3.01122937142019E-7</v>
      </c>
      <c r="F206">
        <f t="shared" si="9"/>
        <v>-1.2250795490792399E-7</v>
      </c>
      <c r="G206">
        <f t="shared" si="10"/>
        <v>-140.89391533849161</v>
      </c>
      <c r="H206">
        <f t="shared" si="11"/>
        <v>-75996.547752462138</v>
      </c>
    </row>
    <row r="207" spans="1:8" x14ac:dyDescent="0.2">
      <c r="A207">
        <v>292.98648071289102</v>
      </c>
      <c r="B207">
        <v>-1.3528627157211299</v>
      </c>
      <c r="C207">
        <v>-1.21935049045689E-4</v>
      </c>
      <c r="D207" s="1">
        <v>3.3507210434472103E-7</v>
      </c>
      <c r="F207">
        <f t="shared" si="9"/>
        <v>-1.2193504904568899E-7</v>
      </c>
      <c r="G207">
        <f t="shared" si="10"/>
        <v>-107.65739426587172</v>
      </c>
      <c r="H207">
        <f t="shared" si="11"/>
        <v>-75641.151502890163</v>
      </c>
    </row>
    <row r="208" spans="1:8" x14ac:dyDescent="0.2">
      <c r="A208">
        <v>292.98597717285202</v>
      </c>
      <c r="B208">
        <v>0.572015821933746</v>
      </c>
      <c r="C208">
        <v>-1.21611756168944E-4</v>
      </c>
      <c r="D208" s="1">
        <v>2.7335446832393198E-7</v>
      </c>
      <c r="F208">
        <f t="shared" si="9"/>
        <v>-1.2161175616894401E-7</v>
      </c>
      <c r="G208">
        <f t="shared" si="10"/>
        <v>45.519572793764539</v>
      </c>
      <c r="H208">
        <f t="shared" si="11"/>
        <v>-75440.600097358605</v>
      </c>
    </row>
    <row r="209" spans="1:8" x14ac:dyDescent="0.2">
      <c r="A209">
        <v>292.98593139648398</v>
      </c>
      <c r="B209">
        <v>0.84440430998802196</v>
      </c>
      <c r="C209">
        <v>-1.2113394542644E-4</v>
      </c>
      <c r="D209" s="1">
        <v>3.8754876982220602E-7</v>
      </c>
      <c r="F209">
        <f t="shared" si="9"/>
        <v>-1.2113394542644E-7</v>
      </c>
      <c r="G209">
        <f t="shared" si="10"/>
        <v>67.195559951347391</v>
      </c>
      <c r="H209">
        <f t="shared" si="11"/>
        <v>-75144.195125643615</v>
      </c>
    </row>
    <row r="210" spans="1:8" x14ac:dyDescent="0.2">
      <c r="A210">
        <v>292.98681640625</v>
      </c>
      <c r="B210">
        <v>1.2893054485321001</v>
      </c>
      <c r="C210">
        <v>-1.20569130497272E-4</v>
      </c>
      <c r="D210" s="1">
        <v>2.6198486724078203E-7</v>
      </c>
      <c r="F210">
        <f t="shared" si="9"/>
        <v>-1.2056913049727199E-7</v>
      </c>
      <c r="G210">
        <f t="shared" si="10"/>
        <v>102.59966764459848</v>
      </c>
      <c r="H210">
        <f t="shared" si="11"/>
        <v>-74793.818003047112</v>
      </c>
    </row>
    <row r="211" spans="1:8" x14ac:dyDescent="0.2">
      <c r="A211">
        <v>292.98664855957003</v>
      </c>
      <c r="B211">
        <v>1.7796046733856199</v>
      </c>
      <c r="C211">
        <v>-1.19847118622396E-4</v>
      </c>
      <c r="D211" s="1">
        <v>3.7426266487044599E-7</v>
      </c>
      <c r="F211">
        <f t="shared" si="9"/>
        <v>-1.19847118622396E-7</v>
      </c>
      <c r="G211">
        <f t="shared" si="10"/>
        <v>141.61644025937966</v>
      </c>
      <c r="H211">
        <f t="shared" si="11"/>
        <v>-74345.925374620667</v>
      </c>
    </row>
    <row r="212" spans="1:8" x14ac:dyDescent="0.2">
      <c r="A212">
        <v>292.98646545410202</v>
      </c>
      <c r="B212">
        <v>2.3062225580215499</v>
      </c>
      <c r="C212">
        <v>-1.2012807667432E-4</v>
      </c>
      <c r="D212" s="1">
        <v>3.2331152931261402E-7</v>
      </c>
      <c r="F212">
        <f t="shared" si="9"/>
        <v>-1.2012807667432E-7</v>
      </c>
      <c r="G212">
        <f t="shared" si="10"/>
        <v>183.52335998958253</v>
      </c>
      <c r="H212">
        <f t="shared" si="11"/>
        <v>-74520.214807707118</v>
      </c>
    </row>
    <row r="213" spans="1:8" x14ac:dyDescent="0.2">
      <c r="A213">
        <v>292.98722839355497</v>
      </c>
      <c r="B213">
        <v>2.5059740543365501</v>
      </c>
      <c r="C213">
        <v>-1.19221333625929E-4</v>
      </c>
      <c r="D213" s="1">
        <v>3.2876997074622099E-7</v>
      </c>
      <c r="F213">
        <f t="shared" si="9"/>
        <v>-1.19221333625929E-7</v>
      </c>
      <c r="G213">
        <f t="shared" si="10"/>
        <v>199.41907900384993</v>
      </c>
      <c r="H213">
        <f t="shared" si="11"/>
        <v>-73957.726098887739</v>
      </c>
    </row>
    <row r="214" spans="1:8" x14ac:dyDescent="0.2">
      <c r="A214">
        <v>292.98709106445301</v>
      </c>
      <c r="B214">
        <v>4.0313495397567802</v>
      </c>
      <c r="C214">
        <v>-1.19157280620347E-4</v>
      </c>
      <c r="D214" s="1">
        <v>2.7554784584463899E-7</v>
      </c>
      <c r="F214">
        <f t="shared" si="9"/>
        <v>-1.1915728062034699E-7</v>
      </c>
      <c r="G214">
        <f t="shared" si="10"/>
        <v>320.80460329176441</v>
      </c>
      <c r="H214">
        <f t="shared" si="11"/>
        <v>-73917.991476747819</v>
      </c>
    </row>
    <row r="215" spans="1:8" x14ac:dyDescent="0.2">
      <c r="A215">
        <v>292.98674011230497</v>
      </c>
      <c r="B215">
        <v>4.1584641933441198</v>
      </c>
      <c r="C215">
        <v>-1.18190265297275E-4</v>
      </c>
      <c r="D215" s="1">
        <v>3.5581810874470998E-7</v>
      </c>
      <c r="F215">
        <f t="shared" si="9"/>
        <v>-1.18190265297275E-7</v>
      </c>
      <c r="G215">
        <f t="shared" si="10"/>
        <v>330.92006602068392</v>
      </c>
      <c r="H215">
        <f t="shared" si="11"/>
        <v>-73318.113483253939</v>
      </c>
    </row>
    <row r="216" spans="1:8" x14ac:dyDescent="0.2">
      <c r="A216">
        <v>292.98687744140602</v>
      </c>
      <c r="B216">
        <v>5.8200337886810303</v>
      </c>
      <c r="C216">
        <v>-1.18228164615701E-4</v>
      </c>
      <c r="D216" s="1">
        <v>3.7242852199392301E-7</v>
      </c>
      <c r="F216">
        <f t="shared" si="9"/>
        <v>-1.18228164615701E-7</v>
      </c>
      <c r="G216">
        <f t="shared" si="10"/>
        <v>463.14357321521868</v>
      </c>
      <c r="H216">
        <f t="shared" si="11"/>
        <v>-73341.623935001437</v>
      </c>
    </row>
    <row r="217" spans="1:8" x14ac:dyDescent="0.2">
      <c r="A217">
        <v>292.98579406738298</v>
      </c>
      <c r="B217">
        <v>7.2455337047576904</v>
      </c>
      <c r="C217">
        <v>-1.16621884917334E-4</v>
      </c>
      <c r="D217" s="1">
        <v>3.5227603269678898E-7</v>
      </c>
      <c r="F217">
        <f t="shared" si="9"/>
        <v>-1.1662188491733399E-7</v>
      </c>
      <c r="G217">
        <f t="shared" si="10"/>
        <v>576.58125222555998</v>
      </c>
      <c r="H217">
        <f t="shared" si="11"/>
        <v>-72345.184871982987</v>
      </c>
    </row>
    <row r="218" spans="1:8" x14ac:dyDescent="0.2">
      <c r="A218">
        <v>292.98622131347702</v>
      </c>
      <c r="B218">
        <v>9.0432982444763201</v>
      </c>
      <c r="C218">
        <v>-1.1677090717136299E-4</v>
      </c>
      <c r="D218" s="1">
        <v>3.7022465711616802E-7</v>
      </c>
      <c r="F218">
        <f t="shared" si="9"/>
        <v>-1.16770907171363E-7</v>
      </c>
      <c r="G218">
        <f t="shared" si="10"/>
        <v>719.64280873133293</v>
      </c>
      <c r="H218">
        <f t="shared" si="11"/>
        <v>-72437.629292045385</v>
      </c>
    </row>
    <row r="219" spans="1:8" x14ac:dyDescent="0.2">
      <c r="A219">
        <v>292.98664855957003</v>
      </c>
      <c r="B219">
        <v>11.0317335128784</v>
      </c>
      <c r="C219">
        <v>-1.16395857277988E-4</v>
      </c>
      <c r="D219" s="1">
        <v>2.8436196201200501E-7</v>
      </c>
      <c r="F219">
        <f t="shared" si="9"/>
        <v>-1.1639585727798801E-7</v>
      </c>
      <c r="G219">
        <f t="shared" si="10"/>
        <v>877.87745972355822</v>
      </c>
      <c r="H219">
        <f t="shared" si="11"/>
        <v>-72204.970954447228</v>
      </c>
    </row>
    <row r="220" spans="1:8" x14ac:dyDescent="0.2">
      <c r="A220">
        <v>292.98689270019503</v>
      </c>
      <c r="B220">
        <v>13.3379559516907</v>
      </c>
      <c r="C220">
        <v>-1.15733284386617E-4</v>
      </c>
      <c r="D220" s="1">
        <v>3.7450333136364198E-7</v>
      </c>
      <c r="F220">
        <f t="shared" si="9"/>
        <v>-1.15733284386617E-7</v>
      </c>
      <c r="G220">
        <f t="shared" si="10"/>
        <v>1061.4008102267701</v>
      </c>
      <c r="H220">
        <f t="shared" si="11"/>
        <v>-71793.950687098797</v>
      </c>
    </row>
    <row r="221" spans="1:8" x14ac:dyDescent="0.2">
      <c r="A221">
        <v>292.98651123046898</v>
      </c>
      <c r="B221">
        <v>16.6701755523682</v>
      </c>
      <c r="C221">
        <v>-1.15113711466595E-4</v>
      </c>
      <c r="D221" s="1">
        <v>3.3742215150160897E-7</v>
      </c>
      <c r="F221">
        <f t="shared" si="9"/>
        <v>-1.15113711466595E-7</v>
      </c>
      <c r="G221">
        <f t="shared" si="10"/>
        <v>1326.570420684533</v>
      </c>
      <c r="H221">
        <f t="shared" si="11"/>
        <v>-71409.605008991828</v>
      </c>
    </row>
    <row r="222" spans="1:8" x14ac:dyDescent="0.2">
      <c r="A222">
        <v>292.98611450195301</v>
      </c>
      <c r="B222">
        <v>20.483613967895501</v>
      </c>
      <c r="C222">
        <v>-1.1316162324686699E-4</v>
      </c>
      <c r="D222" s="1">
        <v>3.4845267955507801E-7</v>
      </c>
      <c r="F222">
        <f t="shared" si="9"/>
        <v>-1.13161623246867E-7</v>
      </c>
      <c r="G222">
        <f t="shared" si="10"/>
        <v>1630.0342076883805</v>
      </c>
      <c r="H222">
        <f t="shared" si="11"/>
        <v>-70198.647192260032</v>
      </c>
    </row>
    <row r="223" spans="1:8" x14ac:dyDescent="0.2">
      <c r="A223">
        <v>292.98693847656199</v>
      </c>
      <c r="B223">
        <v>25.205014228820801</v>
      </c>
      <c r="C223">
        <v>-1.1261432487547901E-4</v>
      </c>
      <c r="D223" s="1">
        <v>3.2051181619242998E-7</v>
      </c>
      <c r="F223">
        <f t="shared" si="9"/>
        <v>-1.12614324875479E-7</v>
      </c>
      <c r="G223">
        <f t="shared" si="10"/>
        <v>2005.7513026091935</v>
      </c>
      <c r="H223">
        <f t="shared" si="11"/>
        <v>-69859.136285827102</v>
      </c>
    </row>
    <row r="224" spans="1:8" x14ac:dyDescent="0.2">
      <c r="A224">
        <v>292.98788452148398</v>
      </c>
      <c r="B224">
        <v>31.088605880737301</v>
      </c>
      <c r="C224">
        <v>-1.11691186278621E-4</v>
      </c>
      <c r="D224" s="1">
        <v>3.9166532804907598E-7</v>
      </c>
      <c r="F224">
        <f t="shared" si="9"/>
        <v>-1.11691186278621E-7</v>
      </c>
      <c r="G224">
        <f t="shared" si="10"/>
        <v>2473.952649877554</v>
      </c>
      <c r="H224">
        <f t="shared" si="11"/>
        <v>-69286.476767422864</v>
      </c>
    </row>
    <row r="225" spans="1:8" x14ac:dyDescent="0.2">
      <c r="A225">
        <v>292.98800659179699</v>
      </c>
      <c r="B225">
        <v>38.1707057952881</v>
      </c>
      <c r="C225">
        <v>-1.0948330206254199E-4</v>
      </c>
      <c r="D225" s="1">
        <v>3.2816868965551198E-7</v>
      </c>
      <c r="F225">
        <f t="shared" si="9"/>
        <v>-1.09483302062542E-7</v>
      </c>
      <c r="G225">
        <f t="shared" si="10"/>
        <v>3037.5282543132785</v>
      </c>
      <c r="H225">
        <f t="shared" si="11"/>
        <v>-67916.838539560311</v>
      </c>
    </row>
    <row r="226" spans="1:8" x14ac:dyDescent="0.2">
      <c r="A226">
        <v>292.98715209960898</v>
      </c>
      <c r="B226">
        <v>47.2049236297607</v>
      </c>
      <c r="C226">
        <v>-1.07652573786571E-4</v>
      </c>
      <c r="D226" s="1">
        <v>3.5278409688289102E-7</v>
      </c>
      <c r="F226">
        <f t="shared" si="9"/>
        <v>-1.07652573786571E-7</v>
      </c>
      <c r="G226">
        <f t="shared" si="10"/>
        <v>3756.4484669759149</v>
      </c>
      <c r="H226">
        <f t="shared" si="11"/>
        <v>-66781.16511369028</v>
      </c>
    </row>
    <row r="227" spans="1:8" x14ac:dyDescent="0.2">
      <c r="A227">
        <v>292.98638916015602</v>
      </c>
      <c r="B227">
        <v>57.964271545410199</v>
      </c>
      <c r="C227">
        <v>-1.04832143225953E-4</v>
      </c>
      <c r="D227" s="1">
        <v>3.1424120102589899E-7</v>
      </c>
      <c r="F227">
        <f t="shared" si="9"/>
        <v>-1.04832143225953E-7</v>
      </c>
      <c r="G227">
        <f t="shared" si="10"/>
        <v>4612.6501695864645</v>
      </c>
      <c r="H227">
        <f t="shared" si="11"/>
        <v>-65031.540071433985</v>
      </c>
    </row>
    <row r="228" spans="1:8" x14ac:dyDescent="0.2">
      <c r="A228">
        <v>292.98796081542997</v>
      </c>
      <c r="B228">
        <v>71.583694458007798</v>
      </c>
      <c r="C228">
        <v>-1.01790750326247E-4</v>
      </c>
      <c r="D228" s="1">
        <v>3.0478387439061197E-7</v>
      </c>
      <c r="F228">
        <f t="shared" si="9"/>
        <v>-1.01790750326247E-7</v>
      </c>
      <c r="G228">
        <f t="shared" si="10"/>
        <v>5696.4494088859274</v>
      </c>
      <c r="H228">
        <f t="shared" si="11"/>
        <v>-63144.843318474348</v>
      </c>
    </row>
    <row r="229" spans="1:8" x14ac:dyDescent="0.2">
      <c r="A229">
        <v>292.98745727539102</v>
      </c>
      <c r="B229">
        <v>88.054119110107393</v>
      </c>
      <c r="C229" s="1">
        <v>-9.8173641056606206E-5</v>
      </c>
      <c r="D229" s="1">
        <v>3.2803895256510701E-7</v>
      </c>
      <c r="F229">
        <f t="shared" si="9"/>
        <v>-9.8173641056606204E-8</v>
      </c>
      <c r="G229">
        <f t="shared" si="10"/>
        <v>7007.124157988058</v>
      </c>
      <c r="H229">
        <f t="shared" si="11"/>
        <v>-60901.006846444965</v>
      </c>
    </row>
    <row r="230" spans="1:8" x14ac:dyDescent="0.2">
      <c r="A230">
        <v>292.98869323730497</v>
      </c>
      <c r="B230">
        <v>108.54681396484401</v>
      </c>
      <c r="C230" s="1">
        <v>-9.1212471357656201E-5</v>
      </c>
      <c r="D230" s="1">
        <v>3.17942900880012E-7</v>
      </c>
      <c r="F230">
        <f t="shared" si="9"/>
        <v>-9.1212471357656205E-8</v>
      </c>
      <c r="G230">
        <f t="shared" si="10"/>
        <v>8637.8809996906493</v>
      </c>
      <c r="H230">
        <f t="shared" si="11"/>
        <v>-56582.716937541853</v>
      </c>
    </row>
    <row r="231" spans="1:8" x14ac:dyDescent="0.2">
      <c r="A231">
        <v>292.98808288574202</v>
      </c>
      <c r="B231">
        <v>133.497596740723</v>
      </c>
      <c r="C231" s="1">
        <v>-8.4278061982030804E-5</v>
      </c>
      <c r="D231" s="1">
        <v>3.3313364003080202E-7</v>
      </c>
      <c r="F231">
        <f t="shared" si="9"/>
        <v>-8.42780619820308E-8</v>
      </c>
      <c r="G231">
        <f t="shared" si="10"/>
        <v>10623.401206087281</v>
      </c>
      <c r="H231">
        <f t="shared" si="11"/>
        <v>-52281.027519528798</v>
      </c>
    </row>
    <row r="232" spans="1:8" x14ac:dyDescent="0.2">
      <c r="A232">
        <v>292.98793029785202</v>
      </c>
      <c r="B232">
        <v>164.61344909668</v>
      </c>
      <c r="C232" s="1">
        <v>-7.4971867685821601E-5</v>
      </c>
      <c r="D232" s="1">
        <v>3.7137165713991999E-7</v>
      </c>
      <c r="F232">
        <f t="shared" si="9"/>
        <v>-7.4971867685821599E-8</v>
      </c>
      <c r="G232">
        <f t="shared" si="10"/>
        <v>13099.522061571359</v>
      </c>
      <c r="H232">
        <f t="shared" si="11"/>
        <v>-46508.025760115634</v>
      </c>
    </row>
    <row r="233" spans="1:8" x14ac:dyDescent="0.2">
      <c r="A233">
        <v>292.98779296875</v>
      </c>
      <c r="B233">
        <v>202.55715179443399</v>
      </c>
      <c r="C233" s="1">
        <v>-6.0735340091447599E-5</v>
      </c>
      <c r="D233" s="1">
        <v>2.9065352511647201E-7</v>
      </c>
      <c r="F233">
        <f t="shared" si="9"/>
        <v>-6.0735340091447593E-8</v>
      </c>
      <c r="G233">
        <f t="shared" si="10"/>
        <v>16118.985983349776</v>
      </c>
      <c r="H233">
        <f t="shared" si="11"/>
        <v>-37676.542531387699</v>
      </c>
    </row>
    <row r="234" spans="1:8" x14ac:dyDescent="0.2">
      <c r="A234">
        <v>292.98800659179699</v>
      </c>
      <c r="B234">
        <v>249.24454498291001</v>
      </c>
      <c r="C234" s="1">
        <v>-4.3563397105245797E-5</v>
      </c>
      <c r="D234" s="1">
        <v>3.80576044455093E-7</v>
      </c>
      <c r="F234">
        <f t="shared" si="9"/>
        <v>-4.3563397105245798E-8</v>
      </c>
      <c r="G234">
        <f t="shared" si="10"/>
        <v>19834.250686360196</v>
      </c>
      <c r="H234">
        <f t="shared" si="11"/>
        <v>-27024.104604934058</v>
      </c>
    </row>
    <row r="235" spans="1:8" x14ac:dyDescent="0.2">
      <c r="A235">
        <v>292.98808288574202</v>
      </c>
      <c r="B235">
        <v>306.73666381835898</v>
      </c>
      <c r="C235" s="1">
        <v>-2.1624370519341799E-5</v>
      </c>
      <c r="D235" s="1">
        <v>3.7566013722831899E-7</v>
      </c>
      <c r="F235">
        <f t="shared" si="9"/>
        <v>-2.1624370519341798E-8</v>
      </c>
      <c r="G235">
        <f t="shared" si="10"/>
        <v>24409.328137104378</v>
      </c>
      <c r="H235">
        <f t="shared" si="11"/>
        <v>-13414.455477811565</v>
      </c>
    </row>
    <row r="236" spans="1:8" x14ac:dyDescent="0.2">
      <c r="A236">
        <v>292.98866271972702</v>
      </c>
      <c r="B236">
        <v>378.03889465332003</v>
      </c>
      <c r="C236" s="1">
        <v>1.02658596907791E-5</v>
      </c>
      <c r="D236" s="1">
        <v>3.2151210557823798E-7</v>
      </c>
      <c r="F236">
        <f t="shared" si="9"/>
        <v>1.0265859690779099E-8</v>
      </c>
      <c r="G236">
        <f t="shared" si="10"/>
        <v>30083.379382536084</v>
      </c>
      <c r="H236">
        <f t="shared" si="11"/>
        <v>6368.3203004795851</v>
      </c>
    </row>
    <row r="237" spans="1:8" x14ac:dyDescent="0.2">
      <c r="A237">
        <v>292.98809814453102</v>
      </c>
      <c r="B237">
        <v>465.60270690917997</v>
      </c>
      <c r="C237" s="1">
        <v>5.0502928178289401E-5</v>
      </c>
      <c r="D237" s="1">
        <v>3.2214109392035402E-7</v>
      </c>
      <c r="F237">
        <f t="shared" si="9"/>
        <v>5.05029281782894E-8</v>
      </c>
      <c r="G237">
        <f t="shared" si="10"/>
        <v>37051.486160781482</v>
      </c>
      <c r="H237">
        <f t="shared" si="11"/>
        <v>31328.971215176862</v>
      </c>
    </row>
    <row r="238" spans="1:8" x14ac:dyDescent="0.2">
      <c r="A238">
        <v>292.98815917968699</v>
      </c>
      <c r="B238">
        <v>573.54119873046898</v>
      </c>
      <c r="C238" s="1">
        <v>9.8320708800194001E-5</v>
      </c>
      <c r="D238" s="1">
        <v>3.8824359989187198E-7</v>
      </c>
      <c r="F238">
        <f t="shared" si="9"/>
        <v>9.8320708800194008E-8</v>
      </c>
      <c r="G238">
        <f t="shared" si="10"/>
        <v>45640.958422402611</v>
      </c>
      <c r="H238">
        <f t="shared" si="11"/>
        <v>60992.238806090507</v>
      </c>
    </row>
    <row r="239" spans="1:8" x14ac:dyDescent="0.2">
      <c r="A239">
        <v>292.98760986328102</v>
      </c>
      <c r="B239">
        <v>706.55755615234398</v>
      </c>
      <c r="C239">
        <v>1.58406317267193E-4</v>
      </c>
      <c r="D239" s="1">
        <v>4.7490547431642599E-7</v>
      </c>
      <c r="F239">
        <f t="shared" si="9"/>
        <v>1.58406317267193E-7</v>
      </c>
      <c r="G239">
        <f t="shared" si="10"/>
        <v>56226.063820287476</v>
      </c>
      <c r="H239">
        <f t="shared" si="11"/>
        <v>98265.72701777461</v>
      </c>
    </row>
    <row r="240" spans="1:8" x14ac:dyDescent="0.2">
      <c r="A240">
        <v>292.98791503906301</v>
      </c>
      <c r="B240">
        <v>870.05419921875</v>
      </c>
      <c r="C240">
        <v>2.2091921493719199E-4</v>
      </c>
      <c r="D240" s="1">
        <v>3.5180568922166699E-7</v>
      </c>
      <c r="F240">
        <f t="shared" si="9"/>
        <v>2.2091921493719198E-7</v>
      </c>
      <c r="G240">
        <f t="shared" si="10"/>
        <v>69236.713281762364</v>
      </c>
      <c r="H240">
        <f t="shared" si="11"/>
        <v>137044.95908065161</v>
      </c>
    </row>
    <row r="241" spans="1:8" x14ac:dyDescent="0.2">
      <c r="A241">
        <v>292.98854064941401</v>
      </c>
      <c r="B241">
        <v>1071.4129028320301</v>
      </c>
      <c r="C241">
        <v>2.7859504670537202E-4</v>
      </c>
      <c r="D241" s="1">
        <v>3.5880447476045801E-7</v>
      </c>
      <c r="F241">
        <f t="shared" si="9"/>
        <v>2.7859504670537203E-7</v>
      </c>
      <c r="G241">
        <f t="shared" si="10"/>
        <v>85260.329789077077</v>
      </c>
      <c r="H241">
        <f t="shared" si="11"/>
        <v>172823.56714269801</v>
      </c>
    </row>
    <row r="242" spans="1:8" x14ac:dyDescent="0.2">
      <c r="A242">
        <v>292.98959350585898</v>
      </c>
      <c r="B242">
        <v>1319.15930175781</v>
      </c>
      <c r="C242">
        <v>3.3159037684684999E-4</v>
      </c>
      <c r="D242" s="1">
        <v>3.49545351298239E-7</v>
      </c>
      <c r="F242">
        <f t="shared" si="9"/>
        <v>3.3159037684685E-7</v>
      </c>
      <c r="G242">
        <f t="shared" si="10"/>
        <v>104975.36180020432</v>
      </c>
      <c r="H242">
        <f t="shared" si="11"/>
        <v>205698.67423906032</v>
      </c>
    </row>
    <row r="243" spans="1:8" x14ac:dyDescent="0.2">
      <c r="A243">
        <v>292.988037109375</v>
      </c>
      <c r="B243">
        <v>1624.70654296875</v>
      </c>
      <c r="C243">
        <v>3.8045834248525199E-4</v>
      </c>
      <c r="D243" s="1">
        <v>2.4633366446622098E-7</v>
      </c>
      <c r="F243">
        <f t="shared" si="9"/>
        <v>3.8045834248525197E-7</v>
      </c>
      <c r="G243">
        <f t="shared" si="10"/>
        <v>129290.03869361071</v>
      </c>
      <c r="H243">
        <f t="shared" si="11"/>
        <v>236013.41328597165</v>
      </c>
    </row>
    <row r="244" spans="1:8" x14ac:dyDescent="0.2">
      <c r="A244">
        <v>292.98847961425798</v>
      </c>
      <c r="B244">
        <v>2001.8193359375</v>
      </c>
      <c r="C244">
        <v>4.2513742273216098E-4</v>
      </c>
      <c r="D244" s="1">
        <v>3.0769956949136398E-7</v>
      </c>
      <c r="F244">
        <f t="shared" si="9"/>
        <v>4.2513742273216096E-7</v>
      </c>
      <c r="G244">
        <f t="shared" si="10"/>
        <v>159299.72124569427</v>
      </c>
      <c r="H244">
        <f t="shared" si="11"/>
        <v>263729.62043408951</v>
      </c>
    </row>
    <row r="245" spans="1:8" x14ac:dyDescent="0.2">
      <c r="A245">
        <v>292.98907470703102</v>
      </c>
      <c r="B245">
        <v>2464.54370117187</v>
      </c>
      <c r="C245">
        <v>4.6627375856809502E-4</v>
      </c>
      <c r="D245" s="1">
        <v>2.8335540980503498E-7</v>
      </c>
      <c r="F245">
        <f t="shared" si="9"/>
        <v>4.6627375856809502E-7</v>
      </c>
      <c r="G245">
        <f t="shared" si="10"/>
        <v>196122.15625374904</v>
      </c>
      <c r="H245">
        <f t="shared" si="11"/>
        <v>289248.12258414604</v>
      </c>
    </row>
    <row r="246" spans="1:8" x14ac:dyDescent="0.2">
      <c r="A246">
        <v>292.98851013183599</v>
      </c>
      <c r="B246">
        <v>3035.27954101562</v>
      </c>
      <c r="C246">
        <v>5.0483525119390999E-4</v>
      </c>
      <c r="D246" s="1">
        <v>3.3248239959960302E-7</v>
      </c>
      <c r="F246">
        <f t="shared" si="9"/>
        <v>5.0483525119390997E-7</v>
      </c>
      <c r="G246">
        <f t="shared" si="10"/>
        <v>241539.87130916759</v>
      </c>
      <c r="H246">
        <f t="shared" si="11"/>
        <v>313169.34727479191</v>
      </c>
    </row>
    <row r="247" spans="1:8" x14ac:dyDescent="0.2">
      <c r="A247">
        <v>292.98846435546898</v>
      </c>
      <c r="B247">
        <v>3738.04174804687</v>
      </c>
      <c r="C247">
        <v>5.4130281327745505E-4</v>
      </c>
      <c r="D247" s="1">
        <v>3.56411388420647E-7</v>
      </c>
      <c r="F247">
        <f t="shared" si="9"/>
        <v>5.4130281327745501E-7</v>
      </c>
      <c r="G247">
        <f t="shared" si="10"/>
        <v>297463.91084276431</v>
      </c>
      <c r="H247">
        <f t="shared" si="11"/>
        <v>335791.62372517405</v>
      </c>
    </row>
    <row r="248" spans="1:8" x14ac:dyDescent="0.2">
      <c r="A248">
        <v>292.98889160156199</v>
      </c>
      <c r="B248">
        <v>4603.95556640625</v>
      </c>
      <c r="C248">
        <v>5.7560044256913098E-4</v>
      </c>
      <c r="D248" s="1">
        <v>3.10889333559996E-7</v>
      </c>
      <c r="F248">
        <f t="shared" si="9"/>
        <v>5.7560044256913103E-7</v>
      </c>
      <c r="G248">
        <f t="shared" si="10"/>
        <v>366371.14308450074</v>
      </c>
      <c r="H248">
        <f t="shared" si="11"/>
        <v>357067.80472272745</v>
      </c>
    </row>
    <row r="249" spans="1:8" x14ac:dyDescent="0.2">
      <c r="A249">
        <v>292.99018859863298</v>
      </c>
      <c r="B249">
        <v>5669.7390136718795</v>
      </c>
      <c r="C249">
        <v>6.0817092181571805E-4</v>
      </c>
      <c r="D249" s="1">
        <v>3.3992963804457099E-7</v>
      </c>
      <c r="F249">
        <f t="shared" si="9"/>
        <v>6.0817092181571806E-7</v>
      </c>
      <c r="G249">
        <f t="shared" si="10"/>
        <v>451183.49503342342</v>
      </c>
      <c r="H249">
        <f t="shared" si="11"/>
        <v>377272.56598287745</v>
      </c>
    </row>
    <row r="250" spans="1:8" x14ac:dyDescent="0.2">
      <c r="A250">
        <v>292.98872375488298</v>
      </c>
      <c r="B250">
        <v>6981.9521484375</v>
      </c>
      <c r="C250">
        <v>6.4002776882536702E-4</v>
      </c>
      <c r="D250" s="1">
        <v>4.1889467105082501E-7</v>
      </c>
      <c r="F250">
        <f t="shared" si="9"/>
        <v>6.4002776882536706E-7</v>
      </c>
      <c r="G250">
        <f t="shared" si="10"/>
        <v>555606.09842745331</v>
      </c>
      <c r="H250">
        <f t="shared" si="11"/>
        <v>397034.63283666898</v>
      </c>
    </row>
    <row r="251" spans="1:8" x14ac:dyDescent="0.2">
      <c r="A251">
        <v>292.98924255371099</v>
      </c>
      <c r="B251">
        <v>8599.35009765625</v>
      </c>
      <c r="C251">
        <v>6.7066335586400401E-4</v>
      </c>
      <c r="D251" s="1">
        <v>4.9467532980653395E-7</v>
      </c>
      <c r="F251">
        <f t="shared" si="9"/>
        <v>6.7066335586400404E-7</v>
      </c>
      <c r="G251">
        <f t="shared" si="10"/>
        <v>684314.5377098826</v>
      </c>
      <c r="H251">
        <f t="shared" si="11"/>
        <v>416039.10364884062</v>
      </c>
    </row>
    <row r="252" spans="1:8" x14ac:dyDescent="0.2">
      <c r="A252">
        <v>292.99064636230497</v>
      </c>
      <c r="B252">
        <v>10589.755859375</v>
      </c>
      <c r="C252">
        <v>6.98190583878528E-4</v>
      </c>
      <c r="D252" s="1">
        <v>4.4663710896725299E-7</v>
      </c>
      <c r="F252">
        <f t="shared" si="9"/>
        <v>6.9819058387852805E-7</v>
      </c>
      <c r="G252">
        <f t="shared" si="10"/>
        <v>842705.99557794665</v>
      </c>
      <c r="H252">
        <f t="shared" si="11"/>
        <v>433115.33596266061</v>
      </c>
    </row>
    <row r="253" spans="1:8" x14ac:dyDescent="0.2">
      <c r="A253">
        <v>292.98973083496099</v>
      </c>
      <c r="B253">
        <v>13041.279296875</v>
      </c>
      <c r="C253">
        <v>7.2521785579768999E-4</v>
      </c>
      <c r="D253" s="1">
        <v>4.21265481974146E-7</v>
      </c>
      <c r="F253">
        <f t="shared" si="9"/>
        <v>7.2521785579769003E-7</v>
      </c>
      <c r="G253">
        <f t="shared" si="10"/>
        <v>1037792.0321698268</v>
      </c>
      <c r="H253">
        <f t="shared" si="11"/>
        <v>449881.42566326109</v>
      </c>
    </row>
    <row r="254" spans="1:8" x14ac:dyDescent="0.2">
      <c r="A254">
        <v>292.99140930175798</v>
      </c>
      <c r="B254">
        <v>16061.051269531299</v>
      </c>
      <c r="C254">
        <v>7.4757253134809601E-4</v>
      </c>
      <c r="D254" s="1">
        <v>6.2995900031603301E-7</v>
      </c>
      <c r="F254">
        <f t="shared" si="9"/>
        <v>7.4757253134809596E-7</v>
      </c>
      <c r="G254">
        <f t="shared" si="10"/>
        <v>1278097.8503991335</v>
      </c>
      <c r="H254">
        <f t="shared" si="11"/>
        <v>463748.91834350443</v>
      </c>
    </row>
    <row r="255" spans="1:8" x14ac:dyDescent="0.2">
      <c r="A255">
        <v>292.99238586425798</v>
      </c>
      <c r="B255">
        <v>19779.4365234375</v>
      </c>
      <c r="C255">
        <v>7.6628515509979196E-4</v>
      </c>
      <c r="D255" s="1">
        <v>5.4364981370707699E-7</v>
      </c>
      <c r="F255">
        <f t="shared" si="9"/>
        <v>7.6628515509979193E-7</v>
      </c>
      <c r="G255">
        <f t="shared" si="10"/>
        <v>1573997.5471387259</v>
      </c>
      <c r="H255">
        <f t="shared" si="11"/>
        <v>475357.10171076789</v>
      </c>
    </row>
    <row r="256" spans="1:8" x14ac:dyDescent="0.2">
      <c r="A256">
        <v>292.99241638183599</v>
      </c>
      <c r="B256">
        <v>24359.2021484375</v>
      </c>
      <c r="C256">
        <v>7.8047647522041597E-4</v>
      </c>
      <c r="D256" s="1">
        <v>8.5381123854114297E-7</v>
      </c>
      <c r="F256">
        <f t="shared" si="9"/>
        <v>7.8047647522041596E-7</v>
      </c>
      <c r="G256">
        <f t="shared" si="10"/>
        <v>1938443.7158492724</v>
      </c>
      <c r="H256">
        <f t="shared" si="11"/>
        <v>484160.54094888153</v>
      </c>
    </row>
    <row r="257" spans="1:8" x14ac:dyDescent="0.2">
      <c r="A257">
        <v>292.99212646484398</v>
      </c>
      <c r="B257">
        <v>29999.6689453125</v>
      </c>
      <c r="C257">
        <v>7.8803878624854101E-4</v>
      </c>
      <c r="D257" s="1">
        <v>7.2712391945922796E-7</v>
      </c>
      <c r="F257">
        <f t="shared" si="9"/>
        <v>7.8803878624854106E-7</v>
      </c>
      <c r="G257">
        <f t="shared" si="10"/>
        <v>2387297.8018834554</v>
      </c>
      <c r="H257">
        <f t="shared" si="11"/>
        <v>488851.74268839165</v>
      </c>
    </row>
    <row r="258" spans="1:8" x14ac:dyDescent="0.2">
      <c r="D258" s="1"/>
    </row>
    <row r="259" spans="1:8" x14ac:dyDescent="0.2">
      <c r="D259" s="1"/>
    </row>
    <row r="260" spans="1:8" x14ac:dyDescent="0.2">
      <c r="D260" s="1"/>
    </row>
    <row r="261" spans="1:8" x14ac:dyDescent="0.2">
      <c r="D261" s="1"/>
    </row>
    <row r="262" spans="1:8" x14ac:dyDescent="0.2">
      <c r="D262" s="1"/>
    </row>
    <row r="263" spans="1:8" x14ac:dyDescent="0.2">
      <c r="D263" s="1"/>
    </row>
    <row r="264" spans="1:8" x14ac:dyDescent="0.2">
      <c r="D264" s="1"/>
    </row>
    <row r="265" spans="1:8" x14ac:dyDescent="0.2">
      <c r="D265" s="1"/>
    </row>
    <row r="266" spans="1:8" x14ac:dyDescent="0.2">
      <c r="D266" s="1"/>
    </row>
    <row r="267" spans="1:8" x14ac:dyDescent="0.2">
      <c r="D267" s="1"/>
    </row>
    <row r="268" spans="1:8" x14ac:dyDescent="0.2">
      <c r="D268" s="1"/>
    </row>
    <row r="269" spans="1:8" x14ac:dyDescent="0.2">
      <c r="D269" s="1"/>
    </row>
    <row r="270" spans="1:8" x14ac:dyDescent="0.2">
      <c r="D270" s="1"/>
    </row>
    <row r="271" spans="1:8" x14ac:dyDescent="0.2">
      <c r="D271" s="1"/>
    </row>
    <row r="272" spans="1:8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  <row r="428" spans="4:4" x14ac:dyDescent="0.2">
      <c r="D428" s="1"/>
    </row>
    <row r="429" spans="4:4" x14ac:dyDescent="0.2">
      <c r="D429" s="1"/>
    </row>
    <row r="430" spans="4:4" x14ac:dyDescent="0.2">
      <c r="D430" s="1"/>
    </row>
    <row r="431" spans="4:4" x14ac:dyDescent="0.2">
      <c r="D431" s="1"/>
    </row>
    <row r="432" spans="4:4" x14ac:dyDescent="0.2">
      <c r="D432" s="1"/>
    </row>
    <row r="433" spans="4:4" x14ac:dyDescent="0.2">
      <c r="D433" s="1"/>
    </row>
    <row r="434" spans="4:4" x14ac:dyDescent="0.2">
      <c r="D434" s="1"/>
    </row>
    <row r="435" spans="4:4" x14ac:dyDescent="0.2">
      <c r="D435" s="1"/>
    </row>
    <row r="436" spans="4:4" x14ac:dyDescent="0.2">
      <c r="D436" s="1"/>
    </row>
    <row r="437" spans="4:4" x14ac:dyDescent="0.2">
      <c r="D437" s="1"/>
    </row>
    <row r="438" spans="4:4" x14ac:dyDescent="0.2">
      <c r="D438" s="1"/>
    </row>
    <row r="439" spans="4:4" x14ac:dyDescent="0.2">
      <c r="D439" s="1"/>
    </row>
    <row r="440" spans="4:4" x14ac:dyDescent="0.2">
      <c r="D440" s="1"/>
    </row>
    <row r="441" spans="4:4" x14ac:dyDescent="0.2">
      <c r="D441" s="1"/>
    </row>
    <row r="442" spans="4:4" x14ac:dyDescent="0.2">
      <c r="D442" s="1"/>
    </row>
    <row r="443" spans="4:4" x14ac:dyDescent="0.2">
      <c r="D443" s="1"/>
    </row>
    <row r="444" spans="4:4" x14ac:dyDescent="0.2">
      <c r="D444" s="1"/>
    </row>
    <row r="445" spans="4:4" x14ac:dyDescent="0.2">
      <c r="D445" s="1"/>
    </row>
    <row r="446" spans="4:4" x14ac:dyDescent="0.2">
      <c r="D446" s="1"/>
    </row>
    <row r="447" spans="4:4" x14ac:dyDescent="0.2">
      <c r="D447" s="1"/>
    </row>
    <row r="448" spans="4:4" x14ac:dyDescent="0.2">
      <c r="D448" s="1"/>
    </row>
    <row r="449" spans="4:4" x14ac:dyDescent="0.2">
      <c r="D449" s="1"/>
    </row>
    <row r="450" spans="4:4" x14ac:dyDescent="0.2">
      <c r="D450" s="1"/>
    </row>
    <row r="451" spans="4:4" x14ac:dyDescent="0.2">
      <c r="D451" s="1"/>
    </row>
    <row r="452" spans="4:4" x14ac:dyDescent="0.2">
      <c r="D452" s="1"/>
    </row>
    <row r="453" spans="4:4" x14ac:dyDescent="0.2">
      <c r="D453" s="1"/>
    </row>
    <row r="454" spans="4:4" x14ac:dyDescent="0.2">
      <c r="D454" s="1"/>
    </row>
    <row r="455" spans="4:4" x14ac:dyDescent="0.2">
      <c r="D455" s="1"/>
    </row>
    <row r="456" spans="4:4" x14ac:dyDescent="0.2">
      <c r="D456" s="1"/>
    </row>
    <row r="457" spans="4:4" x14ac:dyDescent="0.2">
      <c r="D457" s="1"/>
    </row>
    <row r="458" spans="4:4" x14ac:dyDescent="0.2">
      <c r="D458" s="1"/>
    </row>
    <row r="459" spans="4:4" x14ac:dyDescent="0.2">
      <c r="D459" s="1"/>
    </row>
    <row r="460" spans="4:4" x14ac:dyDescent="0.2">
      <c r="D460" s="1"/>
    </row>
    <row r="461" spans="4:4" x14ac:dyDescent="0.2">
      <c r="D461" s="1"/>
    </row>
    <row r="462" spans="4:4" x14ac:dyDescent="0.2">
      <c r="D462" s="1"/>
    </row>
    <row r="463" spans="4:4" x14ac:dyDescent="0.2">
      <c r="D463" s="1"/>
    </row>
    <row r="464" spans="4:4" x14ac:dyDescent="0.2">
      <c r="D464" s="1"/>
    </row>
    <row r="465" spans="4:4" x14ac:dyDescent="0.2">
      <c r="D465" s="1"/>
    </row>
    <row r="466" spans="4:4" x14ac:dyDescent="0.2">
      <c r="D466" s="1"/>
    </row>
    <row r="467" spans="4:4" x14ac:dyDescent="0.2">
      <c r="D467" s="1"/>
    </row>
    <row r="468" spans="4:4" x14ac:dyDescent="0.2">
      <c r="D468" s="1"/>
    </row>
    <row r="469" spans="4:4" x14ac:dyDescent="0.2">
      <c r="D469" s="1"/>
    </row>
    <row r="470" spans="4:4" x14ac:dyDescent="0.2">
      <c r="D470" s="1"/>
    </row>
    <row r="471" spans="4:4" x14ac:dyDescent="0.2">
      <c r="D471" s="1"/>
    </row>
    <row r="472" spans="4:4" x14ac:dyDescent="0.2">
      <c r="D472" s="1"/>
    </row>
    <row r="473" spans="4:4" x14ac:dyDescent="0.2">
      <c r="D473" s="1"/>
    </row>
    <row r="474" spans="4:4" x14ac:dyDescent="0.2">
      <c r="D474" s="1"/>
    </row>
    <row r="475" spans="4:4" x14ac:dyDescent="0.2">
      <c r="D475" s="1"/>
    </row>
    <row r="476" spans="4:4" x14ac:dyDescent="0.2">
      <c r="D476" s="1"/>
    </row>
    <row r="477" spans="4:4" x14ac:dyDescent="0.2">
      <c r="D477" s="1"/>
    </row>
    <row r="478" spans="4:4" x14ac:dyDescent="0.2">
      <c r="D478" s="1"/>
    </row>
    <row r="479" spans="4:4" x14ac:dyDescent="0.2">
      <c r="D479" s="1"/>
    </row>
    <row r="480" spans="4:4" x14ac:dyDescent="0.2">
      <c r="D480" s="1"/>
    </row>
    <row r="482" spans="4:4" x14ac:dyDescent="0.2">
      <c r="D482" s="1"/>
    </row>
    <row r="483" spans="4:4" x14ac:dyDescent="0.2">
      <c r="D483" s="1"/>
    </row>
    <row r="484" spans="4:4" x14ac:dyDescent="0.2">
      <c r="D484" s="1"/>
    </row>
    <row r="485" spans="4:4" x14ac:dyDescent="0.2">
      <c r="D485" s="1"/>
    </row>
    <row r="486" spans="4:4" x14ac:dyDescent="0.2">
      <c r="D486" s="1"/>
    </row>
    <row r="487" spans="4:4" x14ac:dyDescent="0.2">
      <c r="D487" s="1"/>
    </row>
    <row r="488" spans="4:4" x14ac:dyDescent="0.2">
      <c r="D488" s="1"/>
    </row>
    <row r="489" spans="4:4" x14ac:dyDescent="0.2">
      <c r="D489" s="1"/>
    </row>
    <row r="490" spans="4:4" x14ac:dyDescent="0.2">
      <c r="D490" s="1"/>
    </row>
    <row r="491" spans="4:4" x14ac:dyDescent="0.2">
      <c r="D491" s="1"/>
    </row>
    <row r="492" spans="4:4" x14ac:dyDescent="0.2">
      <c r="D492" s="1"/>
    </row>
    <row r="493" spans="4:4" x14ac:dyDescent="0.2">
      <c r="D493" s="1"/>
    </row>
    <row r="494" spans="4:4" x14ac:dyDescent="0.2">
      <c r="D494" s="1"/>
    </row>
    <row r="497" spans="4:4" x14ac:dyDescent="0.2">
      <c r="D497" s="1"/>
    </row>
    <row r="499" spans="4:4" x14ac:dyDescent="0.2">
      <c r="D499" s="1"/>
    </row>
    <row r="500" spans="4:4" x14ac:dyDescent="0.2">
      <c r="D500" s="1"/>
    </row>
    <row r="501" spans="4:4" x14ac:dyDescent="0.2">
      <c r="D501" s="1"/>
    </row>
    <row r="503" spans="4:4" x14ac:dyDescent="0.2">
      <c r="D503" s="1"/>
    </row>
    <row r="504" spans="4:4" x14ac:dyDescent="0.2">
      <c r="D504" s="1"/>
    </row>
    <row r="506" spans="4:4" x14ac:dyDescent="0.2">
      <c r="D506" s="1"/>
    </row>
    <row r="507" spans="4:4" x14ac:dyDescent="0.2">
      <c r="D507" s="1"/>
    </row>
    <row r="508" spans="4:4" x14ac:dyDescent="0.2">
      <c r="D508" s="1"/>
    </row>
    <row r="510" spans="4:4" x14ac:dyDescent="0.2">
      <c r="D510" s="1"/>
    </row>
    <row r="511" spans="4:4" x14ac:dyDescent="0.2">
      <c r="D511" s="1"/>
    </row>
    <row r="512" spans="4:4" x14ac:dyDescent="0.2">
      <c r="D512" s="1"/>
    </row>
    <row r="513" spans="4:4" x14ac:dyDescent="0.2">
      <c r="D513" s="1"/>
    </row>
    <row r="516" spans="4:4" x14ac:dyDescent="0.2">
      <c r="D516" s="1"/>
    </row>
    <row r="517" spans="4:4" x14ac:dyDescent="0.2">
      <c r="D517" s="1"/>
    </row>
    <row r="519" spans="4:4" x14ac:dyDescent="0.2">
      <c r="D519" s="1"/>
    </row>
    <row r="520" spans="4:4" x14ac:dyDescent="0.2">
      <c r="D520" s="1"/>
    </row>
    <row r="522" spans="4:4" x14ac:dyDescent="0.2">
      <c r="D522" s="1"/>
    </row>
    <row r="523" spans="4:4" x14ac:dyDescent="0.2">
      <c r="D523" s="1"/>
    </row>
    <row r="524" spans="4:4" x14ac:dyDescent="0.2">
      <c r="D524" s="1"/>
    </row>
    <row r="526" spans="4:4" x14ac:dyDescent="0.2">
      <c r="D526" s="1"/>
    </row>
    <row r="527" spans="4:4" x14ac:dyDescent="0.2">
      <c r="D527" s="1"/>
    </row>
    <row r="529" spans="4:4" x14ac:dyDescent="0.2">
      <c r="D529" s="1"/>
    </row>
    <row r="530" spans="4:4" x14ac:dyDescent="0.2">
      <c r="D530" s="1"/>
    </row>
    <row r="542" spans="4:4" x14ac:dyDescent="0.2">
      <c r="D542" s="1"/>
    </row>
    <row r="560" spans="4:4" x14ac:dyDescent="0.2">
      <c r="D560" s="1"/>
    </row>
    <row r="728" spans="4:4" x14ac:dyDescent="0.2">
      <c r="D728" s="1"/>
    </row>
    <row r="732" spans="4:4" x14ac:dyDescent="0.2">
      <c r="D732" s="1"/>
    </row>
    <row r="745" spans="4:4" x14ac:dyDescent="0.2">
      <c r="D745" s="1"/>
    </row>
    <row r="749" spans="4:4" x14ac:dyDescent="0.2">
      <c r="D749" s="1"/>
    </row>
    <row r="759" spans="4:4" x14ac:dyDescent="0.2">
      <c r="D759" s="1"/>
    </row>
    <row r="770" spans="4:4" x14ac:dyDescent="0.2">
      <c r="D770" s="1"/>
    </row>
    <row r="771" spans="4:4" x14ac:dyDescent="0.2">
      <c r="D771" s="1"/>
    </row>
    <row r="772" spans="4:4" x14ac:dyDescent="0.2">
      <c r="D772" s="1"/>
    </row>
    <row r="773" spans="4:4" x14ac:dyDescent="0.2">
      <c r="D773" s="1"/>
    </row>
    <row r="775" spans="4:4" x14ac:dyDescent="0.2">
      <c r="D775" s="1"/>
    </row>
    <row r="776" spans="4:4" x14ac:dyDescent="0.2">
      <c r="D776" s="1"/>
    </row>
    <row r="777" spans="4:4" x14ac:dyDescent="0.2">
      <c r="D777" s="1"/>
    </row>
    <row r="779" spans="4:4" x14ac:dyDescent="0.2">
      <c r="D779" s="1"/>
    </row>
    <row r="780" spans="4:4" x14ac:dyDescent="0.2">
      <c r="D780" s="1"/>
    </row>
    <row r="781" spans="4:4" x14ac:dyDescent="0.2">
      <c r="D781" s="1"/>
    </row>
    <row r="782" spans="4:4" x14ac:dyDescent="0.2">
      <c r="D782" s="1"/>
    </row>
    <row r="783" spans="4:4" x14ac:dyDescent="0.2">
      <c r="D783" s="1"/>
    </row>
    <row r="784" spans="4:4" x14ac:dyDescent="0.2">
      <c r="D784" s="1"/>
    </row>
    <row r="785" spans="4:4" x14ac:dyDescent="0.2">
      <c r="D785" s="1"/>
    </row>
    <row r="786" spans="4:4" x14ac:dyDescent="0.2">
      <c r="D786" s="1"/>
    </row>
    <row r="787" spans="4:4" x14ac:dyDescent="0.2">
      <c r="D787" s="1"/>
    </row>
    <row r="789" spans="4:4" x14ac:dyDescent="0.2">
      <c r="D789" s="1"/>
    </row>
    <row r="790" spans="4:4" x14ac:dyDescent="0.2">
      <c r="D790" s="1"/>
    </row>
    <row r="791" spans="4:4" x14ac:dyDescent="0.2">
      <c r="D791" s="1"/>
    </row>
    <row r="793" spans="4:4" x14ac:dyDescent="0.2">
      <c r="D793" s="1"/>
    </row>
    <row r="796" spans="4:4" x14ac:dyDescent="0.2">
      <c r="D796" s="1"/>
    </row>
    <row r="797" spans="4:4" x14ac:dyDescent="0.2">
      <c r="D797" s="1"/>
    </row>
    <row r="799" spans="4:4" x14ac:dyDescent="0.2">
      <c r="D799" s="1"/>
    </row>
    <row r="800" spans="4:4" x14ac:dyDescent="0.2">
      <c r="D800" s="1"/>
    </row>
    <row r="801" spans="4:4" x14ac:dyDescent="0.2">
      <c r="D801" s="1"/>
    </row>
    <row r="803" spans="4:4" x14ac:dyDescent="0.2">
      <c r="D803" s="1"/>
    </row>
    <row r="804" spans="4:4" x14ac:dyDescent="0.2">
      <c r="D804" s="1"/>
    </row>
    <row r="807" spans="4:4" x14ac:dyDescent="0.2">
      <c r="D807" s="1"/>
    </row>
    <row r="810" spans="4:4" x14ac:dyDescent="0.2">
      <c r="D810" s="1"/>
    </row>
    <row r="811" spans="4:4" x14ac:dyDescent="0.2">
      <c r="D811" s="1"/>
    </row>
    <row r="812" spans="4:4" x14ac:dyDescent="0.2">
      <c r="D812" s="1"/>
    </row>
    <row r="813" spans="4:4" x14ac:dyDescent="0.2">
      <c r="D813" s="1"/>
    </row>
    <row r="815" spans="4:4" x14ac:dyDescent="0.2">
      <c r="D815" s="1"/>
    </row>
    <row r="816" spans="4:4" x14ac:dyDescent="0.2">
      <c r="D816" s="1"/>
    </row>
    <row r="817" spans="4:4" x14ac:dyDescent="0.2">
      <c r="D817" s="1"/>
    </row>
    <row r="818" spans="4:4" x14ac:dyDescent="0.2">
      <c r="D818" s="1"/>
    </row>
    <row r="819" spans="4:4" x14ac:dyDescent="0.2">
      <c r="D819" s="1"/>
    </row>
    <row r="820" spans="4:4" x14ac:dyDescent="0.2">
      <c r="D820" s="1"/>
    </row>
    <row r="823" spans="4:4" x14ac:dyDescent="0.2">
      <c r="D823" s="1"/>
    </row>
    <row r="824" spans="4:4" x14ac:dyDescent="0.2">
      <c r="D824" s="1"/>
    </row>
    <row r="825" spans="4:4" x14ac:dyDescent="0.2">
      <c r="D825" s="1"/>
    </row>
    <row r="826" spans="4:4" x14ac:dyDescent="0.2">
      <c r="D826" s="1"/>
    </row>
    <row r="827" spans="4:4" x14ac:dyDescent="0.2">
      <c r="D827" s="1"/>
    </row>
    <row r="828" spans="4:4" x14ac:dyDescent="0.2">
      <c r="D828" s="1"/>
    </row>
    <row r="829" spans="4:4" x14ac:dyDescent="0.2">
      <c r="D829" s="1"/>
    </row>
    <row r="830" spans="4:4" x14ac:dyDescent="0.2">
      <c r="D830" s="1"/>
    </row>
    <row r="831" spans="4:4" x14ac:dyDescent="0.2">
      <c r="D831" s="1"/>
    </row>
    <row r="832" spans="4:4" x14ac:dyDescent="0.2">
      <c r="D832" s="1"/>
    </row>
    <row r="833" spans="4:4" x14ac:dyDescent="0.2">
      <c r="D833" s="1"/>
    </row>
    <row r="834" spans="4:4" x14ac:dyDescent="0.2">
      <c r="D834" s="1"/>
    </row>
    <row r="836" spans="4:4" x14ac:dyDescent="0.2">
      <c r="D836" s="1"/>
    </row>
    <row r="837" spans="4:4" x14ac:dyDescent="0.2">
      <c r="D837" s="1"/>
    </row>
    <row r="838" spans="4:4" x14ac:dyDescent="0.2">
      <c r="D838" s="1"/>
    </row>
    <row r="839" spans="4:4" x14ac:dyDescent="0.2">
      <c r="D839" s="1"/>
    </row>
    <row r="840" spans="4:4" x14ac:dyDescent="0.2">
      <c r="D840" s="1"/>
    </row>
    <row r="841" spans="4:4" x14ac:dyDescent="0.2">
      <c r="D841" s="1"/>
    </row>
    <row r="842" spans="4:4" x14ac:dyDescent="0.2">
      <c r="D842" s="1"/>
    </row>
    <row r="843" spans="4:4" x14ac:dyDescent="0.2">
      <c r="D843" s="1"/>
    </row>
    <row r="844" spans="4:4" x14ac:dyDescent="0.2">
      <c r="D844" s="1"/>
    </row>
    <row r="845" spans="4:4" x14ac:dyDescent="0.2">
      <c r="D845" s="1"/>
    </row>
    <row r="846" spans="4:4" x14ac:dyDescent="0.2">
      <c r="D846" s="1"/>
    </row>
    <row r="847" spans="4:4" x14ac:dyDescent="0.2">
      <c r="D847" s="1"/>
    </row>
    <row r="848" spans="4:4" x14ac:dyDescent="0.2">
      <c r="D848" s="1"/>
    </row>
    <row r="849" spans="4:4" x14ac:dyDescent="0.2">
      <c r="D849" s="1"/>
    </row>
    <row r="850" spans="4:4" x14ac:dyDescent="0.2">
      <c r="D850" s="1"/>
    </row>
    <row r="851" spans="4:4" x14ac:dyDescent="0.2">
      <c r="D851" s="1"/>
    </row>
    <row r="852" spans="4:4" x14ac:dyDescent="0.2">
      <c r="D852" s="1"/>
    </row>
    <row r="853" spans="4:4" x14ac:dyDescent="0.2">
      <c r="D853" s="1"/>
    </row>
    <row r="854" spans="4:4" x14ac:dyDescent="0.2">
      <c r="D854" s="1"/>
    </row>
    <row r="855" spans="4:4" x14ac:dyDescent="0.2">
      <c r="D855" s="1"/>
    </row>
    <row r="856" spans="4:4" x14ac:dyDescent="0.2">
      <c r="D856" s="1"/>
    </row>
    <row r="857" spans="4:4" x14ac:dyDescent="0.2">
      <c r="D857" s="1"/>
    </row>
    <row r="858" spans="4:4" x14ac:dyDescent="0.2">
      <c r="D858" s="1"/>
    </row>
    <row r="859" spans="4:4" x14ac:dyDescent="0.2">
      <c r="D859" s="1"/>
    </row>
    <row r="860" spans="4:4" x14ac:dyDescent="0.2">
      <c r="D860" s="1"/>
    </row>
    <row r="861" spans="4:4" x14ac:dyDescent="0.2">
      <c r="D861" s="1"/>
    </row>
    <row r="862" spans="4:4" x14ac:dyDescent="0.2">
      <c r="D862" s="1"/>
    </row>
    <row r="863" spans="4:4" x14ac:dyDescent="0.2">
      <c r="D863" s="1"/>
    </row>
    <row r="864" spans="4:4" x14ac:dyDescent="0.2">
      <c r="D864" s="1"/>
    </row>
    <row r="865" spans="4:4" x14ac:dyDescent="0.2">
      <c r="D865" s="1"/>
    </row>
    <row r="866" spans="4:4" x14ac:dyDescent="0.2">
      <c r="D866" s="1"/>
    </row>
    <row r="867" spans="4:4" x14ac:dyDescent="0.2">
      <c r="D867" s="1"/>
    </row>
    <row r="868" spans="4:4" x14ac:dyDescent="0.2">
      <c r="D868" s="1"/>
    </row>
    <row r="869" spans="4:4" x14ac:dyDescent="0.2">
      <c r="D869" s="1"/>
    </row>
    <row r="870" spans="4:4" x14ac:dyDescent="0.2">
      <c r="D870" s="1"/>
    </row>
    <row r="871" spans="4:4" x14ac:dyDescent="0.2">
      <c r="D871" s="1"/>
    </row>
    <row r="872" spans="4:4" x14ac:dyDescent="0.2">
      <c r="D872" s="1"/>
    </row>
    <row r="873" spans="4:4" x14ac:dyDescent="0.2">
      <c r="D873" s="1"/>
    </row>
    <row r="874" spans="4:4" x14ac:dyDescent="0.2">
      <c r="D874" s="1"/>
    </row>
    <row r="875" spans="4:4" x14ac:dyDescent="0.2">
      <c r="D875" s="1"/>
    </row>
    <row r="876" spans="4:4" x14ac:dyDescent="0.2">
      <c r="D876" s="1"/>
    </row>
    <row r="877" spans="4:4" x14ac:dyDescent="0.2">
      <c r="D877" s="1"/>
    </row>
    <row r="878" spans="4:4" x14ac:dyDescent="0.2">
      <c r="D878" s="1"/>
    </row>
    <row r="879" spans="4:4" x14ac:dyDescent="0.2">
      <c r="D879" s="1"/>
    </row>
    <row r="880" spans="4:4" x14ac:dyDescent="0.2">
      <c r="D880" s="1"/>
    </row>
    <row r="881" spans="4:4" x14ac:dyDescent="0.2">
      <c r="D881" s="1"/>
    </row>
    <row r="882" spans="4:4" x14ac:dyDescent="0.2">
      <c r="D882" s="1"/>
    </row>
    <row r="883" spans="4:4" x14ac:dyDescent="0.2">
      <c r="D883" s="1"/>
    </row>
    <row r="884" spans="4:4" x14ac:dyDescent="0.2">
      <c r="D884" s="1"/>
    </row>
    <row r="885" spans="4:4" x14ac:dyDescent="0.2">
      <c r="D885" s="1"/>
    </row>
    <row r="886" spans="4:4" x14ac:dyDescent="0.2">
      <c r="D886" s="1"/>
    </row>
    <row r="887" spans="4:4" x14ac:dyDescent="0.2">
      <c r="D887" s="1"/>
    </row>
    <row r="888" spans="4:4" x14ac:dyDescent="0.2">
      <c r="D888" s="1"/>
    </row>
    <row r="889" spans="4:4" x14ac:dyDescent="0.2">
      <c r="D889" s="1"/>
    </row>
    <row r="890" spans="4:4" x14ac:dyDescent="0.2">
      <c r="D890" s="1"/>
    </row>
    <row r="891" spans="4:4" x14ac:dyDescent="0.2">
      <c r="D891" s="1"/>
    </row>
    <row r="892" spans="4:4" x14ac:dyDescent="0.2">
      <c r="D892" s="1"/>
    </row>
    <row r="893" spans="4:4" x14ac:dyDescent="0.2">
      <c r="D893" s="1"/>
    </row>
    <row r="894" spans="4:4" x14ac:dyDescent="0.2">
      <c r="D894" s="1"/>
    </row>
    <row r="895" spans="4:4" x14ac:dyDescent="0.2">
      <c r="D895" s="1"/>
    </row>
    <row r="896" spans="4:4" x14ac:dyDescent="0.2">
      <c r="D896" s="1"/>
    </row>
    <row r="897" spans="4:4" x14ac:dyDescent="0.2">
      <c r="D897" s="1"/>
    </row>
    <row r="898" spans="4:4" x14ac:dyDescent="0.2">
      <c r="D898" s="1"/>
    </row>
    <row r="899" spans="4:4" x14ac:dyDescent="0.2">
      <c r="D899" s="1"/>
    </row>
    <row r="900" spans="4:4" x14ac:dyDescent="0.2">
      <c r="D900" s="1"/>
    </row>
    <row r="901" spans="4:4" x14ac:dyDescent="0.2">
      <c r="D901" s="1"/>
    </row>
    <row r="902" spans="4:4" x14ac:dyDescent="0.2">
      <c r="D902" s="1"/>
    </row>
    <row r="903" spans="4:4" x14ac:dyDescent="0.2">
      <c r="D903" s="1"/>
    </row>
    <row r="904" spans="4:4" x14ac:dyDescent="0.2">
      <c r="D904" s="1"/>
    </row>
    <row r="905" spans="4:4" x14ac:dyDescent="0.2">
      <c r="D905" s="1"/>
    </row>
    <row r="906" spans="4:4" x14ac:dyDescent="0.2">
      <c r="D906" s="1"/>
    </row>
    <row r="907" spans="4:4" x14ac:dyDescent="0.2">
      <c r="D907" s="1"/>
    </row>
    <row r="908" spans="4:4" x14ac:dyDescent="0.2">
      <c r="D908" s="1"/>
    </row>
    <row r="909" spans="4:4" x14ac:dyDescent="0.2">
      <c r="D909" s="1"/>
    </row>
    <row r="910" spans="4:4" x14ac:dyDescent="0.2">
      <c r="D910" s="1"/>
    </row>
    <row r="911" spans="4:4" x14ac:dyDescent="0.2">
      <c r="D911" s="1"/>
    </row>
    <row r="912" spans="4:4" x14ac:dyDescent="0.2">
      <c r="D912" s="1"/>
    </row>
    <row r="913" spans="4:4" x14ac:dyDescent="0.2">
      <c r="D913" s="1"/>
    </row>
    <row r="914" spans="4:4" x14ac:dyDescent="0.2">
      <c r="D914" s="1"/>
    </row>
    <row r="915" spans="4:4" x14ac:dyDescent="0.2">
      <c r="D915" s="1"/>
    </row>
    <row r="916" spans="4:4" x14ac:dyDescent="0.2">
      <c r="D916" s="1"/>
    </row>
    <row r="917" spans="4:4" x14ac:dyDescent="0.2">
      <c r="D917" s="1"/>
    </row>
    <row r="918" spans="4:4" x14ac:dyDescent="0.2">
      <c r="D918" s="1"/>
    </row>
    <row r="919" spans="4:4" x14ac:dyDescent="0.2">
      <c r="D919" s="1"/>
    </row>
    <row r="920" spans="4:4" x14ac:dyDescent="0.2">
      <c r="D920" s="1"/>
    </row>
    <row r="921" spans="4:4" x14ac:dyDescent="0.2">
      <c r="D921" s="1"/>
    </row>
    <row r="922" spans="4:4" x14ac:dyDescent="0.2">
      <c r="D922" s="1"/>
    </row>
    <row r="923" spans="4:4" x14ac:dyDescent="0.2">
      <c r="D923" s="1"/>
    </row>
    <row r="924" spans="4:4" x14ac:dyDescent="0.2">
      <c r="D924" s="1"/>
    </row>
    <row r="925" spans="4:4" x14ac:dyDescent="0.2">
      <c r="D925" s="1"/>
    </row>
    <row r="926" spans="4:4" x14ac:dyDescent="0.2">
      <c r="D926" s="1"/>
    </row>
    <row r="927" spans="4:4" x14ac:dyDescent="0.2">
      <c r="D927" s="1"/>
    </row>
    <row r="928" spans="4:4" x14ac:dyDescent="0.2">
      <c r="D928" s="1"/>
    </row>
    <row r="929" spans="4:4" x14ac:dyDescent="0.2">
      <c r="D929" s="1"/>
    </row>
    <row r="930" spans="4:4" x14ac:dyDescent="0.2">
      <c r="D930" s="1"/>
    </row>
    <row r="931" spans="4:4" x14ac:dyDescent="0.2">
      <c r="D931" s="1"/>
    </row>
    <row r="932" spans="4:4" x14ac:dyDescent="0.2">
      <c r="D932" s="1"/>
    </row>
    <row r="933" spans="4:4" x14ac:dyDescent="0.2">
      <c r="D933" s="1"/>
    </row>
    <row r="934" spans="4:4" x14ac:dyDescent="0.2">
      <c r="D934" s="1"/>
    </row>
    <row r="935" spans="4:4" x14ac:dyDescent="0.2">
      <c r="D935" s="1"/>
    </row>
    <row r="936" spans="4:4" x14ac:dyDescent="0.2">
      <c r="D936" s="1"/>
    </row>
    <row r="937" spans="4:4" x14ac:dyDescent="0.2">
      <c r="D937" s="1"/>
    </row>
    <row r="938" spans="4:4" x14ac:dyDescent="0.2">
      <c r="D938" s="1"/>
    </row>
    <row r="939" spans="4:4" x14ac:dyDescent="0.2">
      <c r="D939" s="1"/>
    </row>
    <row r="940" spans="4:4" x14ac:dyDescent="0.2">
      <c r="D940" s="1"/>
    </row>
    <row r="941" spans="4:4" x14ac:dyDescent="0.2">
      <c r="D941" s="1"/>
    </row>
    <row r="942" spans="4:4" x14ac:dyDescent="0.2">
      <c r="D942" s="1"/>
    </row>
    <row r="943" spans="4:4" x14ac:dyDescent="0.2">
      <c r="D943" s="1"/>
    </row>
    <row r="944" spans="4:4" x14ac:dyDescent="0.2">
      <c r="D944" s="1"/>
    </row>
    <row r="945" spans="4:4" x14ac:dyDescent="0.2">
      <c r="D945" s="1"/>
    </row>
    <row r="946" spans="4:4" x14ac:dyDescent="0.2">
      <c r="D946" s="1"/>
    </row>
    <row r="947" spans="4:4" x14ac:dyDescent="0.2">
      <c r="D947" s="1"/>
    </row>
    <row r="948" spans="4:4" x14ac:dyDescent="0.2">
      <c r="D948" s="1"/>
    </row>
    <row r="949" spans="4:4" x14ac:dyDescent="0.2">
      <c r="D949" s="1"/>
    </row>
    <row r="950" spans="4:4" x14ac:dyDescent="0.2">
      <c r="D950" s="1"/>
    </row>
    <row r="951" spans="4:4" x14ac:dyDescent="0.2">
      <c r="D951" s="1"/>
    </row>
    <row r="952" spans="4:4" x14ac:dyDescent="0.2">
      <c r="D952" s="1"/>
    </row>
    <row r="953" spans="4:4" x14ac:dyDescent="0.2">
      <c r="D953" s="1"/>
    </row>
    <row r="954" spans="4:4" x14ac:dyDescent="0.2">
      <c r="D954" s="1"/>
    </row>
    <row r="955" spans="4:4" x14ac:dyDescent="0.2">
      <c r="D955" s="1"/>
    </row>
    <row r="956" spans="4:4" x14ac:dyDescent="0.2">
      <c r="D956" s="1"/>
    </row>
    <row r="957" spans="4:4" x14ac:dyDescent="0.2">
      <c r="D957" s="1"/>
    </row>
    <row r="958" spans="4:4" x14ac:dyDescent="0.2">
      <c r="D958" s="1"/>
    </row>
    <row r="959" spans="4:4" x14ac:dyDescent="0.2">
      <c r="D959" s="1"/>
    </row>
    <row r="960" spans="4:4" x14ac:dyDescent="0.2">
      <c r="D960" s="1"/>
    </row>
    <row r="961" spans="4:4" x14ac:dyDescent="0.2">
      <c r="D961" s="1"/>
    </row>
    <row r="962" spans="4:4" x14ac:dyDescent="0.2">
      <c r="D962" s="1"/>
    </row>
    <row r="963" spans="4:4" x14ac:dyDescent="0.2">
      <c r="D963" s="1"/>
    </row>
    <row r="964" spans="4:4" x14ac:dyDescent="0.2">
      <c r="D964" s="1"/>
    </row>
    <row r="965" spans="4:4" x14ac:dyDescent="0.2">
      <c r="D965" s="1"/>
    </row>
    <row r="966" spans="4:4" x14ac:dyDescent="0.2">
      <c r="D966" s="1"/>
    </row>
    <row r="967" spans="4:4" x14ac:dyDescent="0.2">
      <c r="D967" s="1"/>
    </row>
    <row r="968" spans="4:4" x14ac:dyDescent="0.2">
      <c r="D968" s="1"/>
    </row>
    <row r="969" spans="4:4" x14ac:dyDescent="0.2">
      <c r="D969" s="1"/>
    </row>
    <row r="970" spans="4:4" x14ac:dyDescent="0.2">
      <c r="D970" s="1"/>
    </row>
    <row r="971" spans="4:4" x14ac:dyDescent="0.2">
      <c r="D971" s="1"/>
    </row>
    <row r="973" spans="4:4" x14ac:dyDescent="0.2">
      <c r="D973" s="1"/>
    </row>
    <row r="975" spans="4:4" x14ac:dyDescent="0.2">
      <c r="D975" s="1"/>
    </row>
    <row r="976" spans="4:4" x14ac:dyDescent="0.2">
      <c r="D976" s="1"/>
    </row>
    <row r="977" spans="4:4" x14ac:dyDescent="0.2">
      <c r="D977" s="1"/>
    </row>
    <row r="978" spans="4:4" x14ac:dyDescent="0.2">
      <c r="D978" s="1"/>
    </row>
    <row r="979" spans="4:4" x14ac:dyDescent="0.2">
      <c r="D979" s="1"/>
    </row>
    <row r="980" spans="4:4" x14ac:dyDescent="0.2">
      <c r="D980" s="1"/>
    </row>
    <row r="981" spans="4:4" x14ac:dyDescent="0.2">
      <c r="D981" s="1"/>
    </row>
    <row r="982" spans="4:4" x14ac:dyDescent="0.2">
      <c r="D982" s="1"/>
    </row>
    <row r="983" spans="4:4" x14ac:dyDescent="0.2">
      <c r="D983" s="1"/>
    </row>
    <row r="984" spans="4:4" x14ac:dyDescent="0.2">
      <c r="D984" s="1"/>
    </row>
    <row r="985" spans="4:4" x14ac:dyDescent="0.2">
      <c r="D985" s="1"/>
    </row>
    <row r="986" spans="4:4" x14ac:dyDescent="0.2">
      <c r="D986" s="1"/>
    </row>
    <row r="987" spans="4:4" x14ac:dyDescent="0.2">
      <c r="D987" s="1"/>
    </row>
    <row r="988" spans="4:4" x14ac:dyDescent="0.2">
      <c r="D988" s="1"/>
    </row>
    <row r="989" spans="4:4" x14ac:dyDescent="0.2">
      <c r="D989" s="1"/>
    </row>
    <row r="990" spans="4:4" x14ac:dyDescent="0.2">
      <c r="D990" s="1"/>
    </row>
    <row r="991" spans="4:4" x14ac:dyDescent="0.2">
      <c r="D991" s="1"/>
    </row>
    <row r="992" spans="4:4" x14ac:dyDescent="0.2">
      <c r="D992" s="1"/>
    </row>
    <row r="993" spans="4:4" x14ac:dyDescent="0.2">
      <c r="D993" s="1"/>
    </row>
    <row r="994" spans="4:4" x14ac:dyDescent="0.2">
      <c r="D994" s="1"/>
    </row>
    <row r="995" spans="4:4" x14ac:dyDescent="0.2">
      <c r="D995" s="1"/>
    </row>
    <row r="996" spans="4:4" x14ac:dyDescent="0.2">
      <c r="D996" s="1"/>
    </row>
    <row r="997" spans="4:4" x14ac:dyDescent="0.2">
      <c r="D997" s="1"/>
    </row>
    <row r="998" spans="4:4" x14ac:dyDescent="0.2">
      <c r="D998" s="1"/>
    </row>
    <row r="999" spans="4:4" x14ac:dyDescent="0.2">
      <c r="D999" s="1"/>
    </row>
    <row r="1000" spans="4:4" x14ac:dyDescent="0.2">
      <c r="D1000" s="1"/>
    </row>
    <row r="1001" spans="4:4" x14ac:dyDescent="0.2">
      <c r="D1001" s="1"/>
    </row>
    <row r="1002" spans="4:4" x14ac:dyDescent="0.2">
      <c r="D1002" s="1"/>
    </row>
    <row r="1003" spans="4:4" x14ac:dyDescent="0.2">
      <c r="D1003" s="1"/>
    </row>
    <row r="1004" spans="4:4" x14ac:dyDescent="0.2">
      <c r="D1004" s="1"/>
    </row>
    <row r="1005" spans="4:4" x14ac:dyDescent="0.2">
      <c r="D1005" s="1"/>
    </row>
    <row r="1006" spans="4:4" x14ac:dyDescent="0.2">
      <c r="D1006" s="1"/>
    </row>
    <row r="1007" spans="4:4" x14ac:dyDescent="0.2">
      <c r="D1007" s="1"/>
    </row>
    <row r="1008" spans="4:4" x14ac:dyDescent="0.2">
      <c r="D1008" s="1"/>
    </row>
    <row r="1009" spans="4:4" x14ac:dyDescent="0.2">
      <c r="D1009" s="1"/>
    </row>
    <row r="1010" spans="4:4" x14ac:dyDescent="0.2">
      <c r="D1010" s="1"/>
    </row>
    <row r="1011" spans="4:4" x14ac:dyDescent="0.2">
      <c r="D1011" s="1"/>
    </row>
    <row r="1012" spans="4:4" x14ac:dyDescent="0.2">
      <c r="D1012" s="1"/>
    </row>
    <row r="1013" spans="4:4" x14ac:dyDescent="0.2">
      <c r="D1013" s="1"/>
    </row>
    <row r="1014" spans="4:4" x14ac:dyDescent="0.2">
      <c r="D1014" s="1"/>
    </row>
    <row r="1015" spans="4:4" x14ac:dyDescent="0.2">
      <c r="D1015" s="1"/>
    </row>
    <row r="1016" spans="4:4" x14ac:dyDescent="0.2">
      <c r="D1016" s="1"/>
    </row>
    <row r="1017" spans="4:4" x14ac:dyDescent="0.2">
      <c r="D1017" s="1"/>
    </row>
    <row r="1018" spans="4:4" x14ac:dyDescent="0.2">
      <c r="D1018" s="1"/>
    </row>
    <row r="1019" spans="4:4" x14ac:dyDescent="0.2">
      <c r="D1019" s="1"/>
    </row>
    <row r="1020" spans="4:4" x14ac:dyDescent="0.2">
      <c r="D1020" s="1"/>
    </row>
    <row r="1021" spans="4:4" x14ac:dyDescent="0.2">
      <c r="D1021" s="1"/>
    </row>
    <row r="1022" spans="4:4" x14ac:dyDescent="0.2">
      <c r="D1022" s="1"/>
    </row>
    <row r="1023" spans="4:4" x14ac:dyDescent="0.2">
      <c r="D1023" s="1"/>
    </row>
    <row r="1024" spans="4:4" x14ac:dyDescent="0.2">
      <c r="D1024" s="1"/>
    </row>
    <row r="1025" spans="4:4" x14ac:dyDescent="0.2">
      <c r="D1025" s="1"/>
    </row>
    <row r="1026" spans="4:4" x14ac:dyDescent="0.2">
      <c r="D1026" s="1"/>
    </row>
    <row r="1027" spans="4:4" x14ac:dyDescent="0.2">
      <c r="D1027" s="1"/>
    </row>
    <row r="1028" spans="4:4" x14ac:dyDescent="0.2">
      <c r="D1028" s="1"/>
    </row>
    <row r="1029" spans="4:4" x14ac:dyDescent="0.2">
      <c r="D1029" s="1"/>
    </row>
    <row r="1030" spans="4:4" x14ac:dyDescent="0.2">
      <c r="D1030" s="1"/>
    </row>
    <row r="1031" spans="4:4" x14ac:dyDescent="0.2">
      <c r="D1031" s="1"/>
    </row>
    <row r="1032" spans="4:4" x14ac:dyDescent="0.2">
      <c r="D1032" s="1"/>
    </row>
    <row r="1033" spans="4:4" x14ac:dyDescent="0.2">
      <c r="D1033" s="1"/>
    </row>
    <row r="1034" spans="4:4" x14ac:dyDescent="0.2">
      <c r="D1034" s="1"/>
    </row>
    <row r="1035" spans="4:4" x14ac:dyDescent="0.2">
      <c r="D1035" s="1"/>
    </row>
    <row r="1036" spans="4:4" x14ac:dyDescent="0.2">
      <c r="D1036" s="1"/>
    </row>
    <row r="1037" spans="4:4" x14ac:dyDescent="0.2">
      <c r="D1037" s="1"/>
    </row>
    <row r="1038" spans="4:4" x14ac:dyDescent="0.2">
      <c r="D1038" s="1"/>
    </row>
    <row r="1039" spans="4:4" x14ac:dyDescent="0.2">
      <c r="D1039" s="1"/>
    </row>
    <row r="1040" spans="4:4" x14ac:dyDescent="0.2">
      <c r="D1040" s="1"/>
    </row>
    <row r="1041" spans="4:4" x14ac:dyDescent="0.2">
      <c r="D1041" s="1"/>
    </row>
    <row r="1042" spans="4:4" x14ac:dyDescent="0.2">
      <c r="D1042" s="1"/>
    </row>
    <row r="1043" spans="4:4" x14ac:dyDescent="0.2">
      <c r="D1043" s="1"/>
    </row>
    <row r="1044" spans="4:4" x14ac:dyDescent="0.2">
      <c r="D1044" s="1"/>
    </row>
    <row r="1045" spans="4:4" x14ac:dyDescent="0.2">
      <c r="D1045" s="1"/>
    </row>
    <row r="1046" spans="4:4" x14ac:dyDescent="0.2">
      <c r="D1046" s="1"/>
    </row>
    <row r="1047" spans="4:4" x14ac:dyDescent="0.2">
      <c r="D1047" s="1"/>
    </row>
    <row r="1048" spans="4:4" x14ac:dyDescent="0.2">
      <c r="D1048" s="1"/>
    </row>
    <row r="1049" spans="4:4" x14ac:dyDescent="0.2">
      <c r="D1049" s="1"/>
    </row>
    <row r="1050" spans="4:4" x14ac:dyDescent="0.2">
      <c r="D1050" s="1"/>
    </row>
    <row r="1051" spans="4:4" x14ac:dyDescent="0.2">
      <c r="D1051" s="1"/>
    </row>
    <row r="1052" spans="4:4" x14ac:dyDescent="0.2">
      <c r="D1052" s="1"/>
    </row>
    <row r="1053" spans="4:4" x14ac:dyDescent="0.2">
      <c r="D1053" s="1"/>
    </row>
    <row r="1054" spans="4:4" x14ac:dyDescent="0.2">
      <c r="D1054" s="1"/>
    </row>
    <row r="1055" spans="4:4" x14ac:dyDescent="0.2">
      <c r="D1055" s="1"/>
    </row>
    <row r="1056" spans="4:4" x14ac:dyDescent="0.2">
      <c r="D1056" s="1"/>
    </row>
    <row r="1057" spans="4:4" x14ac:dyDescent="0.2">
      <c r="D1057" s="1"/>
    </row>
    <row r="1058" spans="4:4" x14ac:dyDescent="0.2">
      <c r="D1058" s="1"/>
    </row>
    <row r="1059" spans="4:4" x14ac:dyDescent="0.2">
      <c r="D1059" s="1"/>
    </row>
    <row r="1060" spans="4:4" x14ac:dyDescent="0.2">
      <c r="D1060" s="1"/>
    </row>
    <row r="1061" spans="4:4" x14ac:dyDescent="0.2">
      <c r="D1061" s="1"/>
    </row>
    <row r="1062" spans="4:4" x14ac:dyDescent="0.2">
      <c r="D1062" s="1"/>
    </row>
    <row r="1063" spans="4:4" x14ac:dyDescent="0.2">
      <c r="D1063" s="1"/>
    </row>
    <row r="1064" spans="4:4" x14ac:dyDescent="0.2">
      <c r="D1064" s="1"/>
    </row>
    <row r="1065" spans="4:4" x14ac:dyDescent="0.2">
      <c r="D1065" s="1"/>
    </row>
    <row r="1066" spans="4:4" x14ac:dyDescent="0.2">
      <c r="D1066" s="1"/>
    </row>
    <row r="1067" spans="4:4" x14ac:dyDescent="0.2">
      <c r="D1067" s="1"/>
    </row>
    <row r="1068" spans="4:4" x14ac:dyDescent="0.2">
      <c r="D1068" s="1"/>
    </row>
    <row r="1069" spans="4:4" x14ac:dyDescent="0.2">
      <c r="D1069" s="1"/>
    </row>
    <row r="1070" spans="4:4" x14ac:dyDescent="0.2">
      <c r="D1070" s="1"/>
    </row>
    <row r="1071" spans="4:4" x14ac:dyDescent="0.2">
      <c r="D1071" s="1"/>
    </row>
    <row r="1072" spans="4:4" x14ac:dyDescent="0.2">
      <c r="D1072" s="1"/>
    </row>
    <row r="1073" spans="4:4" x14ac:dyDescent="0.2">
      <c r="D1073" s="1"/>
    </row>
    <row r="1074" spans="4:4" x14ac:dyDescent="0.2">
      <c r="D1074" s="1"/>
    </row>
    <row r="1075" spans="4:4" x14ac:dyDescent="0.2">
      <c r="D1075" s="1"/>
    </row>
    <row r="1076" spans="4:4" x14ac:dyDescent="0.2">
      <c r="D1076" s="1"/>
    </row>
    <row r="1077" spans="4:4" x14ac:dyDescent="0.2">
      <c r="D1077" s="1"/>
    </row>
    <row r="1078" spans="4:4" x14ac:dyDescent="0.2">
      <c r="D1078" s="1"/>
    </row>
    <row r="1079" spans="4:4" x14ac:dyDescent="0.2">
      <c r="D1079" s="1"/>
    </row>
    <row r="1080" spans="4:4" x14ac:dyDescent="0.2">
      <c r="D1080" s="1"/>
    </row>
    <row r="1081" spans="4:4" x14ac:dyDescent="0.2">
      <c r="D1081" s="1"/>
    </row>
    <row r="1082" spans="4:4" x14ac:dyDescent="0.2">
      <c r="D1082" s="1"/>
    </row>
    <row r="1083" spans="4:4" x14ac:dyDescent="0.2">
      <c r="D1083" s="1"/>
    </row>
    <row r="1084" spans="4:4" x14ac:dyDescent="0.2">
      <c r="D1084" s="1"/>
    </row>
    <row r="1085" spans="4:4" x14ac:dyDescent="0.2">
      <c r="D1085" s="1"/>
    </row>
    <row r="1086" spans="4:4" x14ac:dyDescent="0.2">
      <c r="D1086" s="1"/>
    </row>
    <row r="1087" spans="4:4" x14ac:dyDescent="0.2">
      <c r="D1087" s="1"/>
    </row>
    <row r="1088" spans="4:4" x14ac:dyDescent="0.2">
      <c r="D1088" s="1"/>
    </row>
    <row r="1089" spans="4:4" x14ac:dyDescent="0.2">
      <c r="D1089" s="1"/>
    </row>
    <row r="1090" spans="4:4" x14ac:dyDescent="0.2">
      <c r="D1090" s="1"/>
    </row>
    <row r="1091" spans="4:4" x14ac:dyDescent="0.2">
      <c r="D1091" s="1"/>
    </row>
    <row r="1092" spans="4:4" x14ac:dyDescent="0.2">
      <c r="D1092" s="1"/>
    </row>
    <row r="1093" spans="4:4" x14ac:dyDescent="0.2">
      <c r="D1093" s="1"/>
    </row>
    <row r="1094" spans="4:4" x14ac:dyDescent="0.2">
      <c r="D1094" s="1"/>
    </row>
    <row r="1095" spans="4:4" x14ac:dyDescent="0.2">
      <c r="D1095" s="1"/>
    </row>
    <row r="1096" spans="4:4" x14ac:dyDescent="0.2">
      <c r="D1096" s="1"/>
    </row>
    <row r="1097" spans="4:4" x14ac:dyDescent="0.2">
      <c r="D1097" s="1"/>
    </row>
    <row r="1099" spans="4:4" x14ac:dyDescent="0.2">
      <c r="D1099" s="1"/>
    </row>
    <row r="1100" spans="4:4" x14ac:dyDescent="0.2">
      <c r="D1100" s="1"/>
    </row>
    <row r="1101" spans="4:4" x14ac:dyDescent="0.2">
      <c r="D1101" s="1"/>
    </row>
    <row r="1102" spans="4:4" x14ac:dyDescent="0.2">
      <c r="D1102" s="1"/>
    </row>
    <row r="1103" spans="4:4" x14ac:dyDescent="0.2">
      <c r="D1103" s="1"/>
    </row>
    <row r="1104" spans="4:4" x14ac:dyDescent="0.2">
      <c r="D1104" s="1"/>
    </row>
    <row r="1105" spans="4:4" x14ac:dyDescent="0.2">
      <c r="D1105" s="1"/>
    </row>
    <row r="1106" spans="4:4" x14ac:dyDescent="0.2">
      <c r="D1106" s="1"/>
    </row>
    <row r="1107" spans="4:4" x14ac:dyDescent="0.2">
      <c r="D1107" s="1"/>
    </row>
    <row r="1108" spans="4:4" x14ac:dyDescent="0.2">
      <c r="D1108" s="1"/>
    </row>
    <row r="1109" spans="4:4" x14ac:dyDescent="0.2">
      <c r="D1109" s="1"/>
    </row>
    <row r="1110" spans="4:4" x14ac:dyDescent="0.2">
      <c r="D1110" s="1"/>
    </row>
    <row r="1111" spans="4:4" x14ac:dyDescent="0.2">
      <c r="D1111" s="1"/>
    </row>
    <row r="1113" spans="4:4" x14ac:dyDescent="0.2">
      <c r="D1113" s="1"/>
    </row>
    <row r="1114" spans="4:4" x14ac:dyDescent="0.2">
      <c r="D1114" s="1"/>
    </row>
    <row r="1115" spans="4:4" x14ac:dyDescent="0.2">
      <c r="D1115" s="1"/>
    </row>
    <row r="1116" spans="4:4" x14ac:dyDescent="0.2">
      <c r="D1116" s="1"/>
    </row>
    <row r="1117" spans="4:4" x14ac:dyDescent="0.2">
      <c r="D1117" s="1"/>
    </row>
    <row r="1118" spans="4:4" x14ac:dyDescent="0.2">
      <c r="D1118" s="1"/>
    </row>
    <row r="1119" spans="4:4" x14ac:dyDescent="0.2">
      <c r="D1119" s="1"/>
    </row>
    <row r="1120" spans="4:4" x14ac:dyDescent="0.2">
      <c r="D1120" s="1"/>
    </row>
    <row r="1121" spans="4:4" x14ac:dyDescent="0.2">
      <c r="D1121" s="1"/>
    </row>
    <row r="1125" spans="4:4" x14ac:dyDescent="0.2">
      <c r="D1125" s="1"/>
    </row>
    <row r="1127" spans="4:4" x14ac:dyDescent="0.2">
      <c r="D1127" s="1"/>
    </row>
    <row r="1129" spans="4:4" x14ac:dyDescent="0.2">
      <c r="D1129" s="1"/>
    </row>
    <row r="1130" spans="4:4" x14ac:dyDescent="0.2">
      <c r="D1130" s="1"/>
    </row>
    <row r="1131" spans="4:4" x14ac:dyDescent="0.2">
      <c r="D1131" s="1"/>
    </row>
    <row r="1133" spans="4:4" x14ac:dyDescent="0.2">
      <c r="D1133" s="1"/>
    </row>
    <row r="1134" spans="4:4" x14ac:dyDescent="0.2">
      <c r="D1134" s="1"/>
    </row>
    <row r="1135" spans="4:4" x14ac:dyDescent="0.2">
      <c r="D1135" s="1"/>
    </row>
    <row r="1138" spans="4:4" x14ac:dyDescent="0.2">
      <c r="D1138" s="1"/>
    </row>
    <row r="1139" spans="4:4" x14ac:dyDescent="0.2">
      <c r="D1139" s="1"/>
    </row>
    <row r="1142" spans="4:4" x14ac:dyDescent="0.2">
      <c r="D1142" s="1"/>
    </row>
    <row r="1151" spans="4:4" x14ac:dyDescent="0.2">
      <c r="D1151" s="1"/>
    </row>
    <row r="1153" spans="4:4" x14ac:dyDescent="0.2">
      <c r="D1153" s="1"/>
    </row>
    <row r="1418" spans="4:4" x14ac:dyDescent="0.2">
      <c r="D1418" s="1"/>
    </row>
    <row r="1421" spans="4:4" x14ac:dyDescent="0.2">
      <c r="D1421" s="1"/>
    </row>
    <row r="1422" spans="4:4" x14ac:dyDescent="0.2">
      <c r="D1422" s="1"/>
    </row>
    <row r="1423" spans="4:4" x14ac:dyDescent="0.2">
      <c r="D1423" s="1"/>
    </row>
    <row r="1425" spans="4:4" x14ac:dyDescent="0.2">
      <c r="D1425" s="1"/>
    </row>
    <row r="1432" spans="4:4" x14ac:dyDescent="0.2">
      <c r="D1432" s="1"/>
    </row>
    <row r="1438" spans="4:4" x14ac:dyDescent="0.2">
      <c r="D1438" s="1"/>
    </row>
    <row r="1446" spans="4:4" x14ac:dyDescent="0.2">
      <c r="D1446" s="1"/>
    </row>
    <row r="1451" spans="4:4" x14ac:dyDescent="0.2">
      <c r="D1451" s="1"/>
    </row>
    <row r="1452" spans="4:4" x14ac:dyDescent="0.2">
      <c r="D1452" s="1"/>
    </row>
    <row r="1460" spans="4:4" x14ac:dyDescent="0.2">
      <c r="D1460" s="1"/>
    </row>
    <row r="1461" spans="4:4" x14ac:dyDescent="0.2">
      <c r="D1461" s="1"/>
    </row>
    <row r="1463" spans="4:4" x14ac:dyDescent="0.2">
      <c r="D1463" s="1"/>
    </row>
    <row r="1464" spans="4:4" x14ac:dyDescent="0.2">
      <c r="D1464" s="1"/>
    </row>
    <row r="1465" spans="4:4" x14ac:dyDescent="0.2">
      <c r="D1465" s="1"/>
    </row>
    <row r="1467" spans="4:4" x14ac:dyDescent="0.2">
      <c r="D1467" s="1"/>
    </row>
    <row r="1469" spans="4:4" x14ac:dyDescent="0.2">
      <c r="D1469" s="1"/>
    </row>
    <row r="1470" spans="4:4" x14ac:dyDescent="0.2">
      <c r="D1470" s="1"/>
    </row>
    <row r="1471" spans="4:4" x14ac:dyDescent="0.2">
      <c r="D1471" s="1"/>
    </row>
    <row r="1472" spans="4:4" x14ac:dyDescent="0.2">
      <c r="D1472" s="1"/>
    </row>
    <row r="1473" spans="4:4" x14ac:dyDescent="0.2">
      <c r="D1473" s="1"/>
    </row>
    <row r="1474" spans="4:4" x14ac:dyDescent="0.2">
      <c r="D1474" s="1"/>
    </row>
    <row r="1476" spans="4:4" x14ac:dyDescent="0.2">
      <c r="D1476" s="1"/>
    </row>
    <row r="1477" spans="4:4" x14ac:dyDescent="0.2">
      <c r="D1477" s="1"/>
    </row>
    <row r="1479" spans="4:4" x14ac:dyDescent="0.2">
      <c r="D1479" s="1"/>
    </row>
    <row r="1480" spans="4:4" x14ac:dyDescent="0.2">
      <c r="D1480" s="1"/>
    </row>
    <row r="1481" spans="4:4" x14ac:dyDescent="0.2">
      <c r="D1481" s="1"/>
    </row>
    <row r="1482" spans="4:4" x14ac:dyDescent="0.2">
      <c r="D1482" s="1"/>
    </row>
    <row r="1483" spans="4:4" x14ac:dyDescent="0.2">
      <c r="D1483" s="1"/>
    </row>
    <row r="1484" spans="4:4" x14ac:dyDescent="0.2">
      <c r="D1484" s="1"/>
    </row>
    <row r="1485" spans="4:4" x14ac:dyDescent="0.2">
      <c r="D1485" s="1"/>
    </row>
    <row r="1486" spans="4:4" x14ac:dyDescent="0.2">
      <c r="D1486" s="1"/>
    </row>
    <row r="1487" spans="4:4" x14ac:dyDescent="0.2">
      <c r="D1487" s="1"/>
    </row>
    <row r="1488" spans="4:4" x14ac:dyDescent="0.2">
      <c r="D1488" s="1"/>
    </row>
    <row r="1489" spans="4:4" x14ac:dyDescent="0.2">
      <c r="D1489" s="1"/>
    </row>
    <row r="1490" spans="4:4" x14ac:dyDescent="0.2">
      <c r="D1490" s="1"/>
    </row>
    <row r="1491" spans="4:4" x14ac:dyDescent="0.2">
      <c r="D1491" s="1"/>
    </row>
    <row r="1492" spans="4:4" x14ac:dyDescent="0.2">
      <c r="D1492" s="1"/>
    </row>
    <row r="1493" spans="4:4" x14ac:dyDescent="0.2">
      <c r="D1493" s="1"/>
    </row>
    <row r="1494" spans="4:4" x14ac:dyDescent="0.2">
      <c r="D1494" s="1"/>
    </row>
    <row r="1495" spans="4:4" x14ac:dyDescent="0.2">
      <c r="D1495" s="1"/>
    </row>
    <row r="1496" spans="4:4" x14ac:dyDescent="0.2">
      <c r="D1496" s="1"/>
    </row>
    <row r="1497" spans="4:4" x14ac:dyDescent="0.2">
      <c r="D1497" s="1"/>
    </row>
    <row r="1498" spans="4:4" x14ac:dyDescent="0.2">
      <c r="D1498" s="1"/>
    </row>
    <row r="1499" spans="4:4" x14ac:dyDescent="0.2">
      <c r="D1499" s="1"/>
    </row>
    <row r="1500" spans="4:4" x14ac:dyDescent="0.2">
      <c r="D1500" s="1"/>
    </row>
    <row r="1501" spans="4:4" x14ac:dyDescent="0.2">
      <c r="D1501" s="1"/>
    </row>
    <row r="1502" spans="4:4" x14ac:dyDescent="0.2">
      <c r="D1502" s="1"/>
    </row>
    <row r="1503" spans="4:4" x14ac:dyDescent="0.2">
      <c r="D1503" s="1"/>
    </row>
    <row r="1504" spans="4:4" x14ac:dyDescent="0.2">
      <c r="D1504" s="1"/>
    </row>
    <row r="1505" spans="4:4" x14ac:dyDescent="0.2">
      <c r="D1505" s="1"/>
    </row>
    <row r="1506" spans="4:4" x14ac:dyDescent="0.2">
      <c r="D1506" s="1"/>
    </row>
    <row r="1507" spans="4:4" x14ac:dyDescent="0.2">
      <c r="D1507" s="1"/>
    </row>
    <row r="1508" spans="4:4" x14ac:dyDescent="0.2">
      <c r="D1508" s="1"/>
    </row>
    <row r="1509" spans="4:4" x14ac:dyDescent="0.2">
      <c r="D1509" s="1"/>
    </row>
    <row r="1510" spans="4:4" x14ac:dyDescent="0.2">
      <c r="D1510" s="1"/>
    </row>
    <row r="1511" spans="4:4" x14ac:dyDescent="0.2">
      <c r="D1511" s="1"/>
    </row>
    <row r="1512" spans="4:4" x14ac:dyDescent="0.2">
      <c r="D1512" s="1"/>
    </row>
    <row r="1513" spans="4:4" x14ac:dyDescent="0.2">
      <c r="D1513" s="1"/>
    </row>
    <row r="1514" spans="4:4" x14ac:dyDescent="0.2">
      <c r="D1514" s="1"/>
    </row>
    <row r="1515" spans="4:4" x14ac:dyDescent="0.2">
      <c r="D1515" s="1"/>
    </row>
    <row r="1516" spans="4:4" x14ac:dyDescent="0.2">
      <c r="D1516" s="1"/>
    </row>
    <row r="1517" spans="4:4" x14ac:dyDescent="0.2">
      <c r="D1517" s="1"/>
    </row>
    <row r="1518" spans="4:4" x14ac:dyDescent="0.2">
      <c r="D1518" s="1"/>
    </row>
    <row r="1519" spans="4:4" x14ac:dyDescent="0.2">
      <c r="D1519" s="1"/>
    </row>
    <row r="1520" spans="4:4" x14ac:dyDescent="0.2">
      <c r="D1520" s="1"/>
    </row>
    <row r="1521" spans="4:4" x14ac:dyDescent="0.2">
      <c r="D1521" s="1"/>
    </row>
    <row r="1522" spans="4:4" x14ac:dyDescent="0.2">
      <c r="D1522" s="1"/>
    </row>
    <row r="1523" spans="4:4" x14ac:dyDescent="0.2">
      <c r="D1523" s="1"/>
    </row>
    <row r="1524" spans="4:4" x14ac:dyDescent="0.2">
      <c r="D1524" s="1"/>
    </row>
    <row r="1525" spans="4:4" x14ac:dyDescent="0.2">
      <c r="D1525" s="1"/>
    </row>
    <row r="1526" spans="4:4" x14ac:dyDescent="0.2">
      <c r="D1526" s="1"/>
    </row>
    <row r="1527" spans="4:4" x14ac:dyDescent="0.2">
      <c r="D1527" s="1"/>
    </row>
    <row r="1528" spans="4:4" x14ac:dyDescent="0.2">
      <c r="D1528" s="1"/>
    </row>
    <row r="1529" spans="4:4" x14ac:dyDescent="0.2">
      <c r="D1529" s="1"/>
    </row>
    <row r="1530" spans="4:4" x14ac:dyDescent="0.2">
      <c r="D1530" s="1"/>
    </row>
    <row r="1531" spans="4:4" x14ac:dyDescent="0.2">
      <c r="D1531" s="1"/>
    </row>
    <row r="1532" spans="4:4" x14ac:dyDescent="0.2">
      <c r="D1532" s="1"/>
    </row>
    <row r="1533" spans="4:4" x14ac:dyDescent="0.2">
      <c r="D1533" s="1"/>
    </row>
    <row r="1534" spans="4:4" x14ac:dyDescent="0.2">
      <c r="D1534" s="1"/>
    </row>
    <row r="1535" spans="4:4" x14ac:dyDescent="0.2">
      <c r="D1535" s="1"/>
    </row>
    <row r="1536" spans="4:4" x14ac:dyDescent="0.2">
      <c r="D1536" s="1"/>
    </row>
    <row r="1537" spans="4:4" x14ac:dyDescent="0.2">
      <c r="D1537" s="1"/>
    </row>
    <row r="1538" spans="4:4" x14ac:dyDescent="0.2">
      <c r="D1538" s="1"/>
    </row>
    <row r="1539" spans="4:4" x14ac:dyDescent="0.2">
      <c r="D1539" s="1"/>
    </row>
    <row r="1540" spans="4:4" x14ac:dyDescent="0.2">
      <c r="D1540" s="1"/>
    </row>
    <row r="1541" spans="4:4" x14ac:dyDescent="0.2">
      <c r="D1541" s="1"/>
    </row>
    <row r="1542" spans="4:4" x14ac:dyDescent="0.2">
      <c r="D1542" s="1"/>
    </row>
    <row r="1543" spans="4:4" x14ac:dyDescent="0.2">
      <c r="D1543" s="1"/>
    </row>
    <row r="1544" spans="4:4" x14ac:dyDescent="0.2">
      <c r="D1544" s="1"/>
    </row>
    <row r="1545" spans="4:4" x14ac:dyDescent="0.2">
      <c r="D1545" s="1"/>
    </row>
    <row r="1546" spans="4:4" x14ac:dyDescent="0.2">
      <c r="D1546" s="1"/>
    </row>
    <row r="1547" spans="4:4" x14ac:dyDescent="0.2">
      <c r="D1547" s="1"/>
    </row>
    <row r="1548" spans="4:4" x14ac:dyDescent="0.2">
      <c r="D1548" s="1"/>
    </row>
    <row r="1549" spans="4:4" x14ac:dyDescent="0.2">
      <c r="D1549" s="1"/>
    </row>
    <row r="1550" spans="4:4" x14ac:dyDescent="0.2">
      <c r="D1550" s="1"/>
    </row>
    <row r="1551" spans="4:4" x14ac:dyDescent="0.2">
      <c r="D1551" s="1"/>
    </row>
    <row r="1552" spans="4:4" x14ac:dyDescent="0.2">
      <c r="D1552" s="1"/>
    </row>
    <row r="1553" spans="4:4" x14ac:dyDescent="0.2">
      <c r="D1553" s="1"/>
    </row>
    <row r="1554" spans="4:4" x14ac:dyDescent="0.2">
      <c r="D1554" s="1"/>
    </row>
    <row r="1555" spans="4:4" x14ac:dyDescent="0.2">
      <c r="D1555" s="1"/>
    </row>
    <row r="1556" spans="4:4" x14ac:dyDescent="0.2">
      <c r="D1556" s="1"/>
    </row>
    <row r="1557" spans="4:4" x14ac:dyDescent="0.2">
      <c r="D1557" s="1"/>
    </row>
    <row r="1558" spans="4:4" x14ac:dyDescent="0.2">
      <c r="D1558" s="1"/>
    </row>
    <row r="1559" spans="4:4" x14ac:dyDescent="0.2">
      <c r="D1559" s="1"/>
    </row>
    <row r="1560" spans="4:4" x14ac:dyDescent="0.2">
      <c r="D1560" s="1"/>
    </row>
    <row r="1561" spans="4:4" x14ac:dyDescent="0.2">
      <c r="D1561" s="1"/>
    </row>
    <row r="1562" spans="4:4" x14ac:dyDescent="0.2">
      <c r="D1562" s="1"/>
    </row>
    <row r="1563" spans="4:4" x14ac:dyDescent="0.2">
      <c r="D1563" s="1"/>
    </row>
    <row r="1564" spans="4:4" x14ac:dyDescent="0.2">
      <c r="D1564" s="1"/>
    </row>
    <row r="1565" spans="4:4" x14ac:dyDescent="0.2">
      <c r="D1565" s="1"/>
    </row>
    <row r="1566" spans="4:4" x14ac:dyDescent="0.2">
      <c r="D1566" s="1"/>
    </row>
    <row r="1567" spans="4:4" x14ac:dyDescent="0.2">
      <c r="D1567" s="1"/>
    </row>
    <row r="1568" spans="4:4" x14ac:dyDescent="0.2">
      <c r="D1568" s="1"/>
    </row>
    <row r="1569" spans="4:4" x14ac:dyDescent="0.2">
      <c r="D1569" s="1"/>
    </row>
    <row r="1570" spans="4:4" x14ac:dyDescent="0.2">
      <c r="D1570" s="1"/>
    </row>
    <row r="1571" spans="4:4" x14ac:dyDescent="0.2">
      <c r="D1571" s="1"/>
    </row>
    <row r="1572" spans="4:4" x14ac:dyDescent="0.2">
      <c r="D1572" s="1"/>
    </row>
    <row r="1573" spans="4:4" x14ac:dyDescent="0.2">
      <c r="D1573" s="1"/>
    </row>
    <row r="1574" spans="4:4" x14ac:dyDescent="0.2">
      <c r="D1574" s="1"/>
    </row>
    <row r="1575" spans="4:4" x14ac:dyDescent="0.2">
      <c r="D1575" s="1"/>
    </row>
    <row r="1576" spans="4:4" x14ac:dyDescent="0.2">
      <c r="D1576" s="1"/>
    </row>
    <row r="1577" spans="4:4" x14ac:dyDescent="0.2">
      <c r="D1577" s="1"/>
    </row>
    <row r="1578" spans="4:4" x14ac:dyDescent="0.2">
      <c r="D1578" s="1"/>
    </row>
    <row r="1579" spans="4:4" x14ac:dyDescent="0.2">
      <c r="D1579" s="1"/>
    </row>
    <row r="1580" spans="4:4" x14ac:dyDescent="0.2">
      <c r="D1580" s="1"/>
    </row>
    <row r="1581" spans="4:4" x14ac:dyDescent="0.2">
      <c r="D1581" s="1"/>
    </row>
    <row r="1582" spans="4:4" x14ac:dyDescent="0.2">
      <c r="D1582" s="1"/>
    </row>
    <row r="1583" spans="4:4" x14ac:dyDescent="0.2">
      <c r="D1583" s="1"/>
    </row>
    <row r="1584" spans="4:4" x14ac:dyDescent="0.2">
      <c r="D1584" s="1"/>
    </row>
    <row r="1585" spans="4:4" x14ac:dyDescent="0.2">
      <c r="D1585" s="1"/>
    </row>
    <row r="1586" spans="4:4" x14ac:dyDescent="0.2">
      <c r="D1586" s="1"/>
    </row>
    <row r="1587" spans="4:4" x14ac:dyDescent="0.2">
      <c r="D1587" s="1"/>
    </row>
    <row r="1588" spans="4:4" x14ac:dyDescent="0.2">
      <c r="D1588" s="1"/>
    </row>
    <row r="1589" spans="4:4" x14ac:dyDescent="0.2">
      <c r="D1589" s="1"/>
    </row>
    <row r="1590" spans="4:4" x14ac:dyDescent="0.2">
      <c r="D1590" s="1"/>
    </row>
    <row r="1591" spans="4:4" x14ac:dyDescent="0.2">
      <c r="D1591" s="1"/>
    </row>
    <row r="1592" spans="4:4" x14ac:dyDescent="0.2">
      <c r="D1592" s="1"/>
    </row>
    <row r="1593" spans="4:4" x14ac:dyDescent="0.2">
      <c r="D1593" s="1"/>
    </row>
    <row r="1594" spans="4:4" x14ac:dyDescent="0.2">
      <c r="D1594" s="1"/>
    </row>
    <row r="1595" spans="4:4" x14ac:dyDescent="0.2">
      <c r="D1595" s="1"/>
    </row>
    <row r="1596" spans="4:4" x14ac:dyDescent="0.2">
      <c r="D1596" s="1"/>
    </row>
    <row r="1597" spans="4:4" x14ac:dyDescent="0.2">
      <c r="D1597" s="1"/>
    </row>
    <row r="1598" spans="4:4" x14ac:dyDescent="0.2">
      <c r="D1598" s="1"/>
    </row>
    <row r="1599" spans="4:4" x14ac:dyDescent="0.2">
      <c r="D1599" s="1"/>
    </row>
    <row r="1600" spans="4:4" x14ac:dyDescent="0.2">
      <c r="D1600" s="1"/>
    </row>
    <row r="1601" spans="4:4" x14ac:dyDescent="0.2">
      <c r="D1601" s="1"/>
    </row>
    <row r="1602" spans="4:4" x14ac:dyDescent="0.2">
      <c r="D1602" s="1"/>
    </row>
    <row r="1603" spans="4:4" x14ac:dyDescent="0.2">
      <c r="D1603" s="1"/>
    </row>
    <row r="1604" spans="4:4" x14ac:dyDescent="0.2">
      <c r="D1604" s="1"/>
    </row>
    <row r="1605" spans="4:4" x14ac:dyDescent="0.2">
      <c r="D1605" s="1"/>
    </row>
    <row r="1606" spans="4:4" x14ac:dyDescent="0.2">
      <c r="D1606" s="1"/>
    </row>
    <row r="1610" spans="4:4" x14ac:dyDescent="0.2">
      <c r="D1610" s="1"/>
    </row>
    <row r="1611" spans="4:4" x14ac:dyDescent="0.2">
      <c r="D1611" s="1"/>
    </row>
    <row r="1612" spans="4:4" x14ac:dyDescent="0.2">
      <c r="D1612" s="1"/>
    </row>
    <row r="1613" spans="4:4" x14ac:dyDescent="0.2">
      <c r="D1613" s="1"/>
    </row>
    <row r="1614" spans="4:4" x14ac:dyDescent="0.2">
      <c r="D1614" s="1"/>
    </row>
    <row r="1615" spans="4:4" x14ac:dyDescent="0.2">
      <c r="D1615" s="1"/>
    </row>
    <row r="1616" spans="4:4" x14ac:dyDescent="0.2">
      <c r="D1616" s="1"/>
    </row>
    <row r="1617" spans="4:4" x14ac:dyDescent="0.2">
      <c r="D1617" s="1"/>
    </row>
    <row r="1618" spans="4:4" x14ac:dyDescent="0.2">
      <c r="D1618" s="1"/>
    </row>
    <row r="1619" spans="4:4" x14ac:dyDescent="0.2">
      <c r="D1619" s="1"/>
    </row>
    <row r="1620" spans="4:4" x14ac:dyDescent="0.2">
      <c r="D1620" s="1"/>
    </row>
    <row r="1621" spans="4:4" x14ac:dyDescent="0.2">
      <c r="D1621" s="1"/>
    </row>
    <row r="1622" spans="4:4" x14ac:dyDescent="0.2">
      <c r="D1622" s="1"/>
    </row>
    <row r="1623" spans="4:4" x14ac:dyDescent="0.2">
      <c r="D1623" s="1"/>
    </row>
    <row r="1624" spans="4:4" x14ac:dyDescent="0.2">
      <c r="D1624" s="1"/>
    </row>
    <row r="1625" spans="4:4" x14ac:dyDescent="0.2">
      <c r="D1625" s="1"/>
    </row>
    <row r="1626" spans="4:4" x14ac:dyDescent="0.2">
      <c r="D1626" s="1"/>
    </row>
    <row r="1627" spans="4:4" x14ac:dyDescent="0.2">
      <c r="D1627" s="1"/>
    </row>
    <row r="1628" spans="4:4" x14ac:dyDescent="0.2">
      <c r="D1628" s="1"/>
    </row>
    <row r="1629" spans="4:4" x14ac:dyDescent="0.2">
      <c r="D1629" s="1"/>
    </row>
    <row r="1630" spans="4:4" x14ac:dyDescent="0.2">
      <c r="D1630" s="1"/>
    </row>
    <row r="1631" spans="4:4" x14ac:dyDescent="0.2">
      <c r="D1631" s="1"/>
    </row>
    <row r="1632" spans="4:4" x14ac:dyDescent="0.2">
      <c r="D1632" s="1"/>
    </row>
    <row r="1633" spans="4:4" x14ac:dyDescent="0.2">
      <c r="D1633" s="1"/>
    </row>
    <row r="1634" spans="4:4" x14ac:dyDescent="0.2">
      <c r="D1634" s="1"/>
    </row>
    <row r="1635" spans="4:4" x14ac:dyDescent="0.2">
      <c r="D1635" s="1"/>
    </row>
    <row r="1636" spans="4:4" x14ac:dyDescent="0.2">
      <c r="D1636" s="1"/>
    </row>
    <row r="1637" spans="4:4" x14ac:dyDescent="0.2">
      <c r="D1637" s="1"/>
    </row>
    <row r="1638" spans="4:4" x14ac:dyDescent="0.2">
      <c r="D1638" s="1"/>
    </row>
    <row r="1639" spans="4:4" x14ac:dyDescent="0.2">
      <c r="D1639" s="1"/>
    </row>
    <row r="1640" spans="4:4" x14ac:dyDescent="0.2">
      <c r="D1640" s="1"/>
    </row>
    <row r="1641" spans="4:4" x14ac:dyDescent="0.2">
      <c r="D1641" s="1"/>
    </row>
    <row r="1642" spans="4:4" x14ac:dyDescent="0.2">
      <c r="D1642" s="1"/>
    </row>
    <row r="1643" spans="4:4" x14ac:dyDescent="0.2">
      <c r="D1643" s="1"/>
    </row>
    <row r="1644" spans="4:4" x14ac:dyDescent="0.2">
      <c r="D1644" s="1"/>
    </row>
    <row r="1645" spans="4:4" x14ac:dyDescent="0.2">
      <c r="D1645" s="1"/>
    </row>
    <row r="1646" spans="4:4" x14ac:dyDescent="0.2">
      <c r="D1646" s="1"/>
    </row>
    <row r="1647" spans="4:4" x14ac:dyDescent="0.2">
      <c r="D1647" s="1"/>
    </row>
    <row r="1648" spans="4:4" x14ac:dyDescent="0.2">
      <c r="D1648" s="1"/>
    </row>
    <row r="1649" spans="4:4" x14ac:dyDescent="0.2">
      <c r="D1649" s="1"/>
    </row>
    <row r="1650" spans="4:4" x14ac:dyDescent="0.2">
      <c r="D1650" s="1"/>
    </row>
    <row r="1651" spans="4:4" x14ac:dyDescent="0.2">
      <c r="D1651" s="1"/>
    </row>
    <row r="1652" spans="4:4" x14ac:dyDescent="0.2">
      <c r="D1652" s="1"/>
    </row>
    <row r="1653" spans="4:4" x14ac:dyDescent="0.2">
      <c r="D1653" s="1"/>
    </row>
    <row r="1654" spans="4:4" x14ac:dyDescent="0.2">
      <c r="D1654" s="1"/>
    </row>
    <row r="1655" spans="4:4" x14ac:dyDescent="0.2">
      <c r="D1655" s="1"/>
    </row>
    <row r="1656" spans="4:4" x14ac:dyDescent="0.2">
      <c r="D1656" s="1"/>
    </row>
    <row r="1657" spans="4:4" x14ac:dyDescent="0.2">
      <c r="D1657" s="1"/>
    </row>
    <row r="1658" spans="4:4" x14ac:dyDescent="0.2">
      <c r="D1658" s="1"/>
    </row>
    <row r="1659" spans="4:4" x14ac:dyDescent="0.2">
      <c r="D1659" s="1"/>
    </row>
    <row r="1660" spans="4:4" x14ac:dyDescent="0.2">
      <c r="D1660" s="1"/>
    </row>
    <row r="1661" spans="4:4" x14ac:dyDescent="0.2">
      <c r="D1661" s="1"/>
    </row>
    <row r="1662" spans="4:4" x14ac:dyDescent="0.2">
      <c r="D1662" s="1"/>
    </row>
    <row r="1663" spans="4:4" x14ac:dyDescent="0.2">
      <c r="D1663" s="1"/>
    </row>
    <row r="1664" spans="4:4" x14ac:dyDescent="0.2">
      <c r="D1664" s="1"/>
    </row>
    <row r="1665" spans="4:4" x14ac:dyDescent="0.2">
      <c r="D1665" s="1"/>
    </row>
    <row r="1666" spans="4:4" x14ac:dyDescent="0.2">
      <c r="D1666" s="1"/>
    </row>
    <row r="1667" spans="4:4" x14ac:dyDescent="0.2">
      <c r="D1667" s="1"/>
    </row>
    <row r="1668" spans="4:4" x14ac:dyDescent="0.2">
      <c r="D1668" s="1"/>
    </row>
    <row r="1669" spans="4:4" x14ac:dyDescent="0.2">
      <c r="D1669" s="1"/>
    </row>
    <row r="1670" spans="4:4" x14ac:dyDescent="0.2">
      <c r="D1670" s="1"/>
    </row>
    <row r="1671" spans="4:4" x14ac:dyDescent="0.2">
      <c r="D1671" s="1"/>
    </row>
    <row r="1672" spans="4:4" x14ac:dyDescent="0.2">
      <c r="D1672" s="1"/>
    </row>
    <row r="1673" spans="4:4" x14ac:dyDescent="0.2">
      <c r="D1673" s="1"/>
    </row>
    <row r="1674" spans="4:4" x14ac:dyDescent="0.2">
      <c r="D1674" s="1"/>
    </row>
    <row r="1675" spans="4:4" x14ac:dyDescent="0.2">
      <c r="D1675" s="1"/>
    </row>
    <row r="1676" spans="4:4" x14ac:dyDescent="0.2">
      <c r="D1676" s="1"/>
    </row>
    <row r="1677" spans="4:4" x14ac:dyDescent="0.2">
      <c r="D1677" s="1"/>
    </row>
    <row r="1678" spans="4:4" x14ac:dyDescent="0.2">
      <c r="D1678" s="1"/>
    </row>
    <row r="1679" spans="4:4" x14ac:dyDescent="0.2">
      <c r="D1679" s="1"/>
    </row>
    <row r="1680" spans="4:4" x14ac:dyDescent="0.2">
      <c r="D1680" s="1"/>
    </row>
    <row r="1681" spans="4:4" x14ac:dyDescent="0.2">
      <c r="D1681" s="1"/>
    </row>
    <row r="1682" spans="4:4" x14ac:dyDescent="0.2">
      <c r="D1682" s="1"/>
    </row>
    <row r="1683" spans="4:4" x14ac:dyDescent="0.2">
      <c r="D1683" s="1"/>
    </row>
    <row r="1684" spans="4:4" x14ac:dyDescent="0.2">
      <c r="D1684" s="1"/>
    </row>
    <row r="1685" spans="4:4" x14ac:dyDescent="0.2">
      <c r="D1685" s="1"/>
    </row>
    <row r="1686" spans="4:4" x14ac:dyDescent="0.2">
      <c r="D1686" s="1"/>
    </row>
    <row r="1687" spans="4:4" x14ac:dyDescent="0.2">
      <c r="D1687" s="1"/>
    </row>
    <row r="1688" spans="4:4" x14ac:dyDescent="0.2">
      <c r="D1688" s="1"/>
    </row>
    <row r="1689" spans="4:4" x14ac:dyDescent="0.2">
      <c r="D1689" s="1"/>
    </row>
    <row r="1690" spans="4:4" x14ac:dyDescent="0.2">
      <c r="D1690" s="1"/>
    </row>
    <row r="1691" spans="4:4" x14ac:dyDescent="0.2">
      <c r="D1691" s="1"/>
    </row>
    <row r="1692" spans="4:4" x14ac:dyDescent="0.2">
      <c r="D1692" s="1"/>
    </row>
    <row r="1693" spans="4:4" x14ac:dyDescent="0.2">
      <c r="D1693" s="1"/>
    </row>
    <row r="1694" spans="4:4" x14ac:dyDescent="0.2">
      <c r="D1694" s="1"/>
    </row>
    <row r="1695" spans="4:4" x14ac:dyDescent="0.2">
      <c r="D1695" s="1"/>
    </row>
    <row r="1696" spans="4:4" x14ac:dyDescent="0.2">
      <c r="D1696" s="1"/>
    </row>
    <row r="1697" spans="4:4" x14ac:dyDescent="0.2">
      <c r="D1697" s="1"/>
    </row>
    <row r="1698" spans="4:4" x14ac:dyDescent="0.2">
      <c r="D1698" s="1"/>
    </row>
    <row r="1699" spans="4:4" x14ac:dyDescent="0.2">
      <c r="D1699" s="1"/>
    </row>
    <row r="1700" spans="4:4" x14ac:dyDescent="0.2">
      <c r="D1700" s="1"/>
    </row>
    <row r="1701" spans="4:4" x14ac:dyDescent="0.2">
      <c r="D1701" s="1"/>
    </row>
    <row r="1702" spans="4:4" x14ac:dyDescent="0.2">
      <c r="D1702" s="1"/>
    </row>
    <row r="1703" spans="4:4" x14ac:dyDescent="0.2">
      <c r="D1703" s="1"/>
    </row>
    <row r="1704" spans="4:4" x14ac:dyDescent="0.2">
      <c r="D1704" s="1"/>
    </row>
    <row r="1705" spans="4:4" x14ac:dyDescent="0.2">
      <c r="D1705" s="1"/>
    </row>
    <row r="1706" spans="4:4" x14ac:dyDescent="0.2">
      <c r="D1706" s="1"/>
    </row>
    <row r="1707" spans="4:4" x14ac:dyDescent="0.2">
      <c r="D1707" s="1"/>
    </row>
    <row r="1708" spans="4:4" x14ac:dyDescent="0.2">
      <c r="D1708" s="1"/>
    </row>
    <row r="1709" spans="4:4" x14ac:dyDescent="0.2">
      <c r="D1709" s="1"/>
    </row>
    <row r="1710" spans="4:4" x14ac:dyDescent="0.2">
      <c r="D1710" s="1"/>
    </row>
    <row r="1711" spans="4:4" x14ac:dyDescent="0.2">
      <c r="D1711" s="1"/>
    </row>
    <row r="1712" spans="4:4" x14ac:dyDescent="0.2">
      <c r="D1712" s="1"/>
    </row>
    <row r="1713" spans="4:4" x14ac:dyDescent="0.2">
      <c r="D1713" s="1"/>
    </row>
    <row r="1714" spans="4:4" x14ac:dyDescent="0.2">
      <c r="D1714" s="1"/>
    </row>
    <row r="1715" spans="4:4" x14ac:dyDescent="0.2">
      <c r="D1715" s="1"/>
    </row>
    <row r="1716" spans="4:4" x14ac:dyDescent="0.2">
      <c r="D1716" s="1"/>
    </row>
    <row r="1717" spans="4:4" x14ac:dyDescent="0.2">
      <c r="D1717" s="1"/>
    </row>
    <row r="1718" spans="4:4" x14ac:dyDescent="0.2">
      <c r="D1718" s="1"/>
    </row>
    <row r="1719" spans="4:4" x14ac:dyDescent="0.2">
      <c r="D1719" s="1"/>
    </row>
    <row r="1720" spans="4:4" x14ac:dyDescent="0.2">
      <c r="D1720" s="1"/>
    </row>
    <row r="1721" spans="4:4" x14ac:dyDescent="0.2">
      <c r="D1721" s="1"/>
    </row>
    <row r="1722" spans="4:4" x14ac:dyDescent="0.2">
      <c r="D1722" s="1"/>
    </row>
    <row r="1723" spans="4:4" x14ac:dyDescent="0.2">
      <c r="D1723" s="1"/>
    </row>
    <row r="1724" spans="4:4" x14ac:dyDescent="0.2">
      <c r="D1724" s="1"/>
    </row>
    <row r="1725" spans="4:4" x14ac:dyDescent="0.2">
      <c r="D1725" s="1"/>
    </row>
    <row r="1726" spans="4:4" x14ac:dyDescent="0.2">
      <c r="D1726" s="1"/>
    </row>
    <row r="1727" spans="4:4" x14ac:dyDescent="0.2">
      <c r="D1727" s="1"/>
    </row>
    <row r="1728" spans="4:4" x14ac:dyDescent="0.2">
      <c r="D1728" s="1"/>
    </row>
    <row r="1729" spans="4:4" x14ac:dyDescent="0.2">
      <c r="D1729" s="1"/>
    </row>
    <row r="1730" spans="4:4" x14ac:dyDescent="0.2">
      <c r="D1730" s="1"/>
    </row>
    <row r="1731" spans="4:4" x14ac:dyDescent="0.2">
      <c r="D1731" s="1"/>
    </row>
    <row r="1732" spans="4:4" x14ac:dyDescent="0.2">
      <c r="D1732" s="1"/>
    </row>
    <row r="1733" spans="4:4" x14ac:dyDescent="0.2">
      <c r="D1733" s="1"/>
    </row>
    <row r="1734" spans="4:4" x14ac:dyDescent="0.2">
      <c r="D1734" s="1"/>
    </row>
    <row r="1735" spans="4:4" x14ac:dyDescent="0.2">
      <c r="D1735" s="1"/>
    </row>
    <row r="1737" spans="4:4" x14ac:dyDescent="0.2">
      <c r="D1737" s="1"/>
    </row>
    <row r="1738" spans="4:4" x14ac:dyDescent="0.2">
      <c r="D1738" s="1"/>
    </row>
    <row r="1739" spans="4:4" x14ac:dyDescent="0.2">
      <c r="D1739" s="1"/>
    </row>
    <row r="1740" spans="4:4" x14ac:dyDescent="0.2">
      <c r="D1740" s="1"/>
    </row>
    <row r="1741" spans="4:4" x14ac:dyDescent="0.2">
      <c r="D1741" s="1"/>
    </row>
    <row r="1742" spans="4:4" x14ac:dyDescent="0.2">
      <c r="D1742" s="1"/>
    </row>
    <row r="1743" spans="4:4" x14ac:dyDescent="0.2">
      <c r="D1743" s="1"/>
    </row>
    <row r="1744" spans="4:4" x14ac:dyDescent="0.2">
      <c r="D1744" s="1"/>
    </row>
    <row r="1745" spans="4:4" x14ac:dyDescent="0.2">
      <c r="D1745" s="1"/>
    </row>
    <row r="1746" spans="4:4" x14ac:dyDescent="0.2">
      <c r="D1746" s="1"/>
    </row>
    <row r="1747" spans="4:4" x14ac:dyDescent="0.2">
      <c r="D1747" s="1"/>
    </row>
    <row r="1748" spans="4:4" x14ac:dyDescent="0.2">
      <c r="D1748" s="1"/>
    </row>
    <row r="1749" spans="4:4" x14ac:dyDescent="0.2">
      <c r="D1749" s="1"/>
    </row>
    <row r="1750" spans="4:4" x14ac:dyDescent="0.2">
      <c r="D1750" s="1"/>
    </row>
    <row r="1752" spans="4:4" x14ac:dyDescent="0.2">
      <c r="D1752" s="1"/>
    </row>
    <row r="1753" spans="4:4" x14ac:dyDescent="0.2">
      <c r="D1753" s="1"/>
    </row>
    <row r="1754" spans="4:4" x14ac:dyDescent="0.2">
      <c r="D1754" s="1"/>
    </row>
    <row r="1755" spans="4:4" x14ac:dyDescent="0.2">
      <c r="D1755" s="1"/>
    </row>
    <row r="1756" spans="4:4" x14ac:dyDescent="0.2">
      <c r="D1756" s="1"/>
    </row>
    <row r="1757" spans="4:4" x14ac:dyDescent="0.2">
      <c r="D1757" s="1"/>
    </row>
    <row r="1758" spans="4:4" x14ac:dyDescent="0.2">
      <c r="D1758" s="1"/>
    </row>
    <row r="1759" spans="4:4" x14ac:dyDescent="0.2">
      <c r="D1759" s="1"/>
    </row>
    <row r="1760" spans="4:4" x14ac:dyDescent="0.2">
      <c r="D1760" s="1"/>
    </row>
    <row r="1761" spans="4:4" x14ac:dyDescent="0.2">
      <c r="D1761" s="1"/>
    </row>
    <row r="1762" spans="4:4" x14ac:dyDescent="0.2">
      <c r="D1762" s="1"/>
    </row>
    <row r="1764" spans="4:4" x14ac:dyDescent="0.2">
      <c r="D1764" s="1"/>
    </row>
    <row r="1765" spans="4:4" x14ac:dyDescent="0.2">
      <c r="D1765" s="1"/>
    </row>
    <row r="1766" spans="4:4" x14ac:dyDescent="0.2">
      <c r="D1766" s="1"/>
    </row>
    <row r="1767" spans="4:4" x14ac:dyDescent="0.2">
      <c r="D1767" s="1"/>
    </row>
    <row r="1768" spans="4:4" x14ac:dyDescent="0.2">
      <c r="D1768" s="1"/>
    </row>
    <row r="1769" spans="4:4" x14ac:dyDescent="0.2">
      <c r="D1769" s="1"/>
    </row>
    <row r="1771" spans="4:4" x14ac:dyDescent="0.2">
      <c r="D1771" s="1"/>
    </row>
    <row r="1772" spans="4:4" x14ac:dyDescent="0.2">
      <c r="D1772" s="1"/>
    </row>
    <row r="1773" spans="4:4" x14ac:dyDescent="0.2">
      <c r="D1773" s="1"/>
    </row>
    <row r="1774" spans="4:4" x14ac:dyDescent="0.2">
      <c r="D1774" s="1"/>
    </row>
    <row r="1775" spans="4:4" x14ac:dyDescent="0.2">
      <c r="D1775" s="1"/>
    </row>
    <row r="1776" spans="4:4" x14ac:dyDescent="0.2">
      <c r="D1776" s="1"/>
    </row>
    <row r="1778" spans="4:4" x14ac:dyDescent="0.2">
      <c r="D1778" s="1"/>
    </row>
    <row r="1779" spans="4:4" x14ac:dyDescent="0.2">
      <c r="D1779" s="1"/>
    </row>
    <row r="1781" spans="4:4" x14ac:dyDescent="0.2">
      <c r="D1781" s="1"/>
    </row>
    <row r="1784" spans="4:4" x14ac:dyDescent="0.2">
      <c r="D1784" s="1"/>
    </row>
    <row r="1785" spans="4:4" x14ac:dyDescent="0.2">
      <c r="D1785" s="1"/>
    </row>
    <row r="1786" spans="4:4" x14ac:dyDescent="0.2">
      <c r="D1786" s="1"/>
    </row>
    <row r="1787" spans="4:4" x14ac:dyDescent="0.2">
      <c r="D1787" s="1"/>
    </row>
    <row r="1788" spans="4:4" x14ac:dyDescent="0.2">
      <c r="D1788" s="1"/>
    </row>
    <row r="1789" spans="4:4" x14ac:dyDescent="0.2">
      <c r="D1789" s="1"/>
    </row>
    <row r="1790" spans="4:4" x14ac:dyDescent="0.2">
      <c r="D1790" s="1"/>
    </row>
    <row r="1793" spans="4:4" x14ac:dyDescent="0.2">
      <c r="D1793" s="1"/>
    </row>
    <row r="1794" spans="4:4" x14ac:dyDescent="0.2">
      <c r="D1794" s="1"/>
    </row>
    <row r="1795" spans="4:4" x14ac:dyDescent="0.2">
      <c r="D1795" s="1"/>
    </row>
    <row r="1796" spans="4:4" x14ac:dyDescent="0.2">
      <c r="D1796" s="1"/>
    </row>
    <row r="1798" spans="4:4" x14ac:dyDescent="0.2">
      <c r="D1798" s="1"/>
    </row>
    <row r="1799" spans="4:4" x14ac:dyDescent="0.2">
      <c r="D1799" s="1"/>
    </row>
    <row r="1800" spans="4:4" x14ac:dyDescent="0.2">
      <c r="D1800" s="1"/>
    </row>
    <row r="1801" spans="4:4" x14ac:dyDescent="0.2">
      <c r="D1801" s="1"/>
    </row>
    <row r="1802" spans="4:4" x14ac:dyDescent="0.2">
      <c r="D1802" s="1"/>
    </row>
    <row r="1803" spans="4:4" x14ac:dyDescent="0.2">
      <c r="D1803" s="1"/>
    </row>
    <row r="1804" spans="4:4" x14ac:dyDescent="0.2">
      <c r="D1804" s="1"/>
    </row>
    <row r="1805" spans="4:4" x14ac:dyDescent="0.2">
      <c r="D1805" s="1"/>
    </row>
    <row r="1806" spans="4:4" x14ac:dyDescent="0.2">
      <c r="D1806" s="1"/>
    </row>
    <row r="1807" spans="4:4" x14ac:dyDescent="0.2">
      <c r="D1807" s="1"/>
    </row>
    <row r="1827" spans="4:4" x14ac:dyDescent="0.2">
      <c r="D1827" s="1"/>
    </row>
    <row r="2030" spans="4:4" x14ac:dyDescent="0.2">
      <c r="D2030" s="1"/>
    </row>
    <row r="2033" spans="4:4" x14ac:dyDescent="0.2">
      <c r="D2033" s="1"/>
    </row>
    <row r="2034" spans="4:4" x14ac:dyDescent="0.2">
      <c r="D2034" s="1"/>
    </row>
    <row r="2037" spans="4:4" x14ac:dyDescent="0.2">
      <c r="D2037" s="1"/>
    </row>
    <row r="2041" spans="4:4" x14ac:dyDescent="0.2">
      <c r="D2041" s="1"/>
    </row>
    <row r="2045" spans="4:4" x14ac:dyDescent="0.2">
      <c r="D2045" s="1"/>
    </row>
    <row r="2049" spans="4:4" x14ac:dyDescent="0.2">
      <c r="D2049" s="1"/>
    </row>
    <row r="2051" spans="4:4" x14ac:dyDescent="0.2">
      <c r="D2051" s="1"/>
    </row>
    <row r="2055" spans="4:4" x14ac:dyDescent="0.2">
      <c r="D2055" s="1"/>
    </row>
    <row r="2056" spans="4:4" x14ac:dyDescent="0.2">
      <c r="D2056" s="1"/>
    </row>
    <row r="2057" spans="4:4" x14ac:dyDescent="0.2">
      <c r="D2057" s="1"/>
    </row>
    <row r="2059" spans="4:4" x14ac:dyDescent="0.2">
      <c r="D2059" s="1"/>
    </row>
    <row r="2060" spans="4:4" x14ac:dyDescent="0.2">
      <c r="D2060" s="1"/>
    </row>
    <row r="2061" spans="4:4" x14ac:dyDescent="0.2">
      <c r="D2061" s="1"/>
    </row>
    <row r="2062" spans="4:4" x14ac:dyDescent="0.2">
      <c r="D2062" s="1"/>
    </row>
    <row r="2063" spans="4:4" x14ac:dyDescent="0.2">
      <c r="D2063" s="1"/>
    </row>
    <row r="2066" spans="4:4" x14ac:dyDescent="0.2">
      <c r="D2066" s="1"/>
    </row>
    <row r="2067" spans="4:4" x14ac:dyDescent="0.2">
      <c r="D2067" s="1"/>
    </row>
    <row r="2068" spans="4:4" x14ac:dyDescent="0.2">
      <c r="D2068" s="1"/>
    </row>
    <row r="2069" spans="4:4" x14ac:dyDescent="0.2">
      <c r="D2069" s="1"/>
    </row>
    <row r="2070" spans="4:4" x14ac:dyDescent="0.2">
      <c r="D2070" s="1"/>
    </row>
    <row r="2071" spans="4:4" x14ac:dyDescent="0.2">
      <c r="D2071" s="1"/>
    </row>
    <row r="2072" spans="4:4" x14ac:dyDescent="0.2">
      <c r="D2072" s="1"/>
    </row>
    <row r="2073" spans="4:4" x14ac:dyDescent="0.2">
      <c r="D2073" s="1"/>
    </row>
    <row r="2074" spans="4:4" x14ac:dyDescent="0.2">
      <c r="D2074" s="1"/>
    </row>
    <row r="2075" spans="4:4" x14ac:dyDescent="0.2">
      <c r="D2075" s="1"/>
    </row>
    <row r="2076" spans="4:4" x14ac:dyDescent="0.2">
      <c r="D2076" s="1"/>
    </row>
    <row r="2077" spans="4:4" x14ac:dyDescent="0.2">
      <c r="D2077" s="1"/>
    </row>
    <row r="2078" spans="4:4" x14ac:dyDescent="0.2">
      <c r="D2078" s="1"/>
    </row>
    <row r="2079" spans="4:4" x14ac:dyDescent="0.2">
      <c r="D2079" s="1"/>
    </row>
    <row r="2080" spans="4:4" x14ac:dyDescent="0.2">
      <c r="D2080" s="1"/>
    </row>
    <row r="2081" spans="4:4" x14ac:dyDescent="0.2">
      <c r="D2081" s="1"/>
    </row>
    <row r="2082" spans="4:4" x14ac:dyDescent="0.2">
      <c r="D2082" s="1"/>
    </row>
    <row r="2083" spans="4:4" x14ac:dyDescent="0.2">
      <c r="D2083" s="1"/>
    </row>
    <row r="2085" spans="4:4" x14ac:dyDescent="0.2">
      <c r="D2085" s="1"/>
    </row>
    <row r="2086" spans="4:4" x14ac:dyDescent="0.2">
      <c r="D2086" s="1"/>
    </row>
    <row r="2087" spans="4:4" x14ac:dyDescent="0.2">
      <c r="D2087" s="1"/>
    </row>
    <row r="2088" spans="4:4" x14ac:dyDescent="0.2">
      <c r="D2088" s="1"/>
    </row>
    <row r="2089" spans="4:4" x14ac:dyDescent="0.2">
      <c r="D2089" s="1"/>
    </row>
    <row r="2090" spans="4:4" x14ac:dyDescent="0.2">
      <c r="D2090" s="1"/>
    </row>
    <row r="2091" spans="4:4" x14ac:dyDescent="0.2">
      <c r="D2091" s="1"/>
    </row>
    <row r="2092" spans="4:4" x14ac:dyDescent="0.2">
      <c r="D2092" s="1"/>
    </row>
    <row r="2093" spans="4:4" x14ac:dyDescent="0.2">
      <c r="D2093" s="1"/>
    </row>
    <row r="2094" spans="4:4" x14ac:dyDescent="0.2">
      <c r="D2094" s="1"/>
    </row>
    <row r="2095" spans="4:4" x14ac:dyDescent="0.2">
      <c r="D2095" s="1"/>
    </row>
    <row r="2096" spans="4:4" x14ac:dyDescent="0.2">
      <c r="D2096" s="1"/>
    </row>
    <row r="2098" spans="4:4" x14ac:dyDescent="0.2">
      <c r="D2098" s="1"/>
    </row>
    <row r="2099" spans="4:4" x14ac:dyDescent="0.2">
      <c r="D2099" s="1"/>
    </row>
    <row r="2100" spans="4:4" x14ac:dyDescent="0.2">
      <c r="D2100" s="1"/>
    </row>
    <row r="2101" spans="4:4" x14ac:dyDescent="0.2">
      <c r="D2101" s="1"/>
    </row>
    <row r="2103" spans="4:4" x14ac:dyDescent="0.2">
      <c r="D2103" s="1"/>
    </row>
    <row r="2104" spans="4:4" x14ac:dyDescent="0.2">
      <c r="D2104" s="1"/>
    </row>
    <row r="2106" spans="4:4" x14ac:dyDescent="0.2">
      <c r="D2106" s="1"/>
    </row>
    <row r="2107" spans="4:4" x14ac:dyDescent="0.2">
      <c r="D2107" s="1"/>
    </row>
    <row r="2108" spans="4:4" x14ac:dyDescent="0.2">
      <c r="D2108" s="1"/>
    </row>
    <row r="2109" spans="4:4" x14ac:dyDescent="0.2">
      <c r="D2109" s="1"/>
    </row>
    <row r="2110" spans="4:4" x14ac:dyDescent="0.2">
      <c r="D2110" s="1"/>
    </row>
    <row r="2113" spans="4:4" x14ac:dyDescent="0.2">
      <c r="D2113" s="1"/>
    </row>
    <row r="2114" spans="4:4" x14ac:dyDescent="0.2">
      <c r="D2114" s="1"/>
    </row>
    <row r="2115" spans="4:4" x14ac:dyDescent="0.2">
      <c r="D2115" s="1"/>
    </row>
    <row r="2116" spans="4:4" x14ac:dyDescent="0.2">
      <c r="D2116" s="1"/>
    </row>
    <row r="2117" spans="4:4" x14ac:dyDescent="0.2">
      <c r="D2117" s="1"/>
    </row>
    <row r="2118" spans="4:4" x14ac:dyDescent="0.2">
      <c r="D2118" s="1"/>
    </row>
    <row r="2119" spans="4:4" x14ac:dyDescent="0.2">
      <c r="D2119" s="1"/>
    </row>
    <row r="2120" spans="4:4" x14ac:dyDescent="0.2">
      <c r="D2120" s="1"/>
    </row>
    <row r="2121" spans="4:4" x14ac:dyDescent="0.2">
      <c r="D2121" s="1"/>
    </row>
    <row r="2122" spans="4:4" x14ac:dyDescent="0.2">
      <c r="D2122" s="1"/>
    </row>
    <row r="2123" spans="4:4" x14ac:dyDescent="0.2">
      <c r="D2123" s="1"/>
    </row>
    <row r="2124" spans="4:4" x14ac:dyDescent="0.2">
      <c r="D2124" s="1"/>
    </row>
    <row r="2125" spans="4:4" x14ac:dyDescent="0.2">
      <c r="D2125" s="1"/>
    </row>
    <row r="2126" spans="4:4" x14ac:dyDescent="0.2">
      <c r="D2126" s="1"/>
    </row>
    <row r="2127" spans="4:4" x14ac:dyDescent="0.2">
      <c r="D2127" s="1"/>
    </row>
    <row r="2128" spans="4:4" x14ac:dyDescent="0.2">
      <c r="D2128" s="1"/>
    </row>
    <row r="2129" spans="4:4" x14ac:dyDescent="0.2">
      <c r="D2129" s="1"/>
    </row>
    <row r="2130" spans="4:4" x14ac:dyDescent="0.2">
      <c r="D2130" s="1"/>
    </row>
    <row r="2131" spans="4:4" x14ac:dyDescent="0.2">
      <c r="D2131" s="1"/>
    </row>
    <row r="2133" spans="4:4" x14ac:dyDescent="0.2">
      <c r="D2133" s="1"/>
    </row>
    <row r="2134" spans="4:4" x14ac:dyDescent="0.2">
      <c r="D2134" s="1"/>
    </row>
    <row r="2135" spans="4:4" x14ac:dyDescent="0.2">
      <c r="D2135" s="1"/>
    </row>
    <row r="2136" spans="4:4" x14ac:dyDescent="0.2">
      <c r="D2136" s="1"/>
    </row>
    <row r="2137" spans="4:4" x14ac:dyDescent="0.2">
      <c r="D2137" s="1"/>
    </row>
    <row r="2138" spans="4:4" x14ac:dyDescent="0.2">
      <c r="D2138" s="1"/>
    </row>
    <row r="2139" spans="4:4" x14ac:dyDescent="0.2">
      <c r="D2139" s="1"/>
    </row>
    <row r="2140" spans="4:4" x14ac:dyDescent="0.2">
      <c r="D2140" s="1"/>
    </row>
    <row r="2141" spans="4:4" x14ac:dyDescent="0.2">
      <c r="D2141" s="1"/>
    </row>
    <row r="2142" spans="4:4" x14ac:dyDescent="0.2">
      <c r="D2142" s="1"/>
    </row>
    <row r="2143" spans="4:4" x14ac:dyDescent="0.2">
      <c r="D2143" s="1"/>
    </row>
    <row r="2144" spans="4:4" x14ac:dyDescent="0.2">
      <c r="D2144" s="1"/>
    </row>
    <row r="2145" spans="4:4" x14ac:dyDescent="0.2">
      <c r="D2145" s="1"/>
    </row>
    <row r="2146" spans="4:4" x14ac:dyDescent="0.2">
      <c r="D2146" s="1"/>
    </row>
    <row r="2147" spans="4:4" x14ac:dyDescent="0.2">
      <c r="D2147" s="1"/>
    </row>
    <row r="2148" spans="4:4" x14ac:dyDescent="0.2">
      <c r="D2148" s="1"/>
    </row>
    <row r="2149" spans="4:4" x14ac:dyDescent="0.2">
      <c r="D2149" s="1"/>
    </row>
    <row r="2150" spans="4:4" x14ac:dyDescent="0.2">
      <c r="D2150" s="1"/>
    </row>
    <row r="2151" spans="4:4" x14ac:dyDescent="0.2">
      <c r="D2151" s="1"/>
    </row>
    <row r="2152" spans="4:4" x14ac:dyDescent="0.2">
      <c r="D2152" s="1"/>
    </row>
    <row r="2153" spans="4:4" x14ac:dyDescent="0.2">
      <c r="D2153" s="1"/>
    </row>
    <row r="2154" spans="4:4" x14ac:dyDescent="0.2">
      <c r="D2154" s="1"/>
    </row>
    <row r="2155" spans="4:4" x14ac:dyDescent="0.2">
      <c r="D2155" s="1"/>
    </row>
    <row r="2156" spans="4:4" x14ac:dyDescent="0.2">
      <c r="D2156" s="1"/>
    </row>
    <row r="2157" spans="4:4" x14ac:dyDescent="0.2">
      <c r="D2157" s="1"/>
    </row>
    <row r="2158" spans="4:4" x14ac:dyDescent="0.2">
      <c r="D2158" s="1"/>
    </row>
    <row r="2159" spans="4:4" x14ac:dyDescent="0.2">
      <c r="D2159" s="1"/>
    </row>
    <row r="2160" spans="4:4" x14ac:dyDescent="0.2">
      <c r="D2160" s="1"/>
    </row>
    <row r="2161" spans="4:4" x14ac:dyDescent="0.2">
      <c r="D2161" s="1"/>
    </row>
    <row r="2162" spans="4:4" x14ac:dyDescent="0.2">
      <c r="D2162" s="1"/>
    </row>
    <row r="2163" spans="4:4" x14ac:dyDescent="0.2">
      <c r="D2163" s="1"/>
    </row>
    <row r="2164" spans="4:4" x14ac:dyDescent="0.2">
      <c r="D2164" s="1"/>
    </row>
    <row r="2165" spans="4:4" x14ac:dyDescent="0.2">
      <c r="D2165" s="1"/>
    </row>
    <row r="2166" spans="4:4" x14ac:dyDescent="0.2">
      <c r="D2166" s="1"/>
    </row>
    <row r="2167" spans="4:4" x14ac:dyDescent="0.2">
      <c r="D2167" s="1"/>
    </row>
    <row r="2168" spans="4:4" x14ac:dyDescent="0.2">
      <c r="D2168" s="1"/>
    </row>
    <row r="2169" spans="4:4" x14ac:dyDescent="0.2">
      <c r="D2169" s="1"/>
    </row>
    <row r="2170" spans="4:4" x14ac:dyDescent="0.2">
      <c r="D2170" s="1"/>
    </row>
    <row r="2171" spans="4:4" x14ac:dyDescent="0.2">
      <c r="D2171" s="1"/>
    </row>
    <row r="2172" spans="4:4" x14ac:dyDescent="0.2">
      <c r="D2172" s="1"/>
    </row>
    <row r="2173" spans="4:4" x14ac:dyDescent="0.2">
      <c r="D2173" s="1"/>
    </row>
    <row r="2174" spans="4:4" x14ac:dyDescent="0.2">
      <c r="D2174" s="1"/>
    </row>
    <row r="2175" spans="4:4" x14ac:dyDescent="0.2">
      <c r="D2175" s="1"/>
    </row>
    <row r="2176" spans="4:4" x14ac:dyDescent="0.2">
      <c r="D2176" s="1"/>
    </row>
    <row r="2177" spans="4:4" x14ac:dyDescent="0.2">
      <c r="D2177" s="1"/>
    </row>
    <row r="2178" spans="4:4" x14ac:dyDescent="0.2">
      <c r="D2178" s="1"/>
    </row>
    <row r="2179" spans="4:4" x14ac:dyDescent="0.2">
      <c r="D2179" s="1"/>
    </row>
    <row r="2180" spans="4:4" x14ac:dyDescent="0.2">
      <c r="D2180" s="1"/>
    </row>
    <row r="2181" spans="4:4" x14ac:dyDescent="0.2">
      <c r="D2181" s="1"/>
    </row>
    <row r="2182" spans="4:4" x14ac:dyDescent="0.2">
      <c r="D2182" s="1"/>
    </row>
    <row r="2183" spans="4:4" x14ac:dyDescent="0.2">
      <c r="D2183" s="1"/>
    </row>
    <row r="2184" spans="4:4" x14ac:dyDescent="0.2">
      <c r="D2184" s="1"/>
    </row>
    <row r="2185" spans="4:4" x14ac:dyDescent="0.2">
      <c r="D2185" s="1"/>
    </row>
    <row r="2186" spans="4:4" x14ac:dyDescent="0.2">
      <c r="D2186" s="1"/>
    </row>
    <row r="2187" spans="4:4" x14ac:dyDescent="0.2">
      <c r="D2187" s="1"/>
    </row>
    <row r="2188" spans="4:4" x14ac:dyDescent="0.2">
      <c r="D2188" s="1"/>
    </row>
    <row r="2189" spans="4:4" x14ac:dyDescent="0.2">
      <c r="D2189" s="1"/>
    </row>
    <row r="2190" spans="4:4" x14ac:dyDescent="0.2">
      <c r="D2190" s="1"/>
    </row>
    <row r="2191" spans="4:4" x14ac:dyDescent="0.2">
      <c r="D2191" s="1"/>
    </row>
    <row r="2192" spans="4:4" x14ac:dyDescent="0.2">
      <c r="D2192" s="1"/>
    </row>
    <row r="2193" spans="4:4" x14ac:dyDescent="0.2">
      <c r="D2193" s="1"/>
    </row>
    <row r="2194" spans="4:4" x14ac:dyDescent="0.2">
      <c r="D2194" s="1"/>
    </row>
    <row r="2195" spans="4:4" x14ac:dyDescent="0.2">
      <c r="D2195" s="1"/>
    </row>
    <row r="2196" spans="4:4" x14ac:dyDescent="0.2">
      <c r="D2196" s="1"/>
    </row>
    <row r="2197" spans="4:4" x14ac:dyDescent="0.2">
      <c r="D2197" s="1"/>
    </row>
    <row r="2198" spans="4:4" x14ac:dyDescent="0.2">
      <c r="D2198" s="1"/>
    </row>
    <row r="2199" spans="4:4" x14ac:dyDescent="0.2">
      <c r="D2199" s="1"/>
    </row>
    <row r="2200" spans="4:4" x14ac:dyDescent="0.2">
      <c r="D2200" s="1"/>
    </row>
    <row r="2201" spans="4:4" x14ac:dyDescent="0.2">
      <c r="D2201" s="1"/>
    </row>
    <row r="2202" spans="4:4" x14ac:dyDescent="0.2">
      <c r="D2202" s="1"/>
    </row>
    <row r="2203" spans="4:4" x14ac:dyDescent="0.2">
      <c r="D2203" s="1"/>
    </row>
    <row r="2204" spans="4:4" x14ac:dyDescent="0.2">
      <c r="D2204" s="1"/>
    </row>
    <row r="2205" spans="4:4" x14ac:dyDescent="0.2">
      <c r="D2205" s="1"/>
    </row>
    <row r="2206" spans="4:4" x14ac:dyDescent="0.2">
      <c r="D2206" s="1"/>
    </row>
    <row r="2207" spans="4:4" x14ac:dyDescent="0.2">
      <c r="D2207" s="1"/>
    </row>
    <row r="2208" spans="4:4" x14ac:dyDescent="0.2">
      <c r="D2208" s="1"/>
    </row>
    <row r="2209" spans="4:4" x14ac:dyDescent="0.2">
      <c r="D2209" s="1"/>
    </row>
    <row r="2210" spans="4:4" x14ac:dyDescent="0.2">
      <c r="D2210" s="1"/>
    </row>
    <row r="2211" spans="4:4" x14ac:dyDescent="0.2">
      <c r="D2211" s="1"/>
    </row>
    <row r="2212" spans="4:4" x14ac:dyDescent="0.2">
      <c r="D2212" s="1"/>
    </row>
    <row r="2213" spans="4:4" x14ac:dyDescent="0.2">
      <c r="D2213" s="1"/>
    </row>
    <row r="2214" spans="4:4" x14ac:dyDescent="0.2">
      <c r="D2214" s="1"/>
    </row>
    <row r="2215" spans="4:4" x14ac:dyDescent="0.2">
      <c r="D2215" s="1"/>
    </row>
    <row r="2216" spans="4:4" x14ac:dyDescent="0.2">
      <c r="D2216" s="1"/>
    </row>
    <row r="2217" spans="4:4" x14ac:dyDescent="0.2">
      <c r="D2217" s="1"/>
    </row>
    <row r="2218" spans="4:4" x14ac:dyDescent="0.2">
      <c r="D2218" s="1"/>
    </row>
    <row r="2219" spans="4:4" x14ac:dyDescent="0.2">
      <c r="D2219" s="1"/>
    </row>
    <row r="2220" spans="4:4" x14ac:dyDescent="0.2">
      <c r="D2220" s="1"/>
    </row>
    <row r="2221" spans="4:4" x14ac:dyDescent="0.2">
      <c r="D2221" s="1"/>
    </row>
    <row r="2222" spans="4:4" x14ac:dyDescent="0.2">
      <c r="D2222" s="1"/>
    </row>
    <row r="2223" spans="4:4" x14ac:dyDescent="0.2">
      <c r="D2223" s="1"/>
    </row>
    <row r="2224" spans="4:4" x14ac:dyDescent="0.2">
      <c r="D2224" s="1"/>
    </row>
    <row r="2225" spans="4:4" x14ac:dyDescent="0.2">
      <c r="D2225" s="1"/>
    </row>
    <row r="2226" spans="4:4" x14ac:dyDescent="0.2">
      <c r="D2226" s="1"/>
    </row>
    <row r="2227" spans="4:4" x14ac:dyDescent="0.2">
      <c r="D2227" s="1"/>
    </row>
    <row r="2228" spans="4:4" x14ac:dyDescent="0.2">
      <c r="D2228" s="1"/>
    </row>
    <row r="2229" spans="4:4" x14ac:dyDescent="0.2">
      <c r="D2229" s="1"/>
    </row>
    <row r="2230" spans="4:4" x14ac:dyDescent="0.2">
      <c r="D2230" s="1"/>
    </row>
    <row r="2231" spans="4:4" x14ac:dyDescent="0.2">
      <c r="D2231" s="1"/>
    </row>
    <row r="2232" spans="4:4" x14ac:dyDescent="0.2">
      <c r="D2232" s="1"/>
    </row>
    <row r="2233" spans="4:4" x14ac:dyDescent="0.2">
      <c r="D2233" s="1"/>
    </row>
    <row r="2234" spans="4:4" x14ac:dyDescent="0.2">
      <c r="D2234" s="1"/>
    </row>
    <row r="2235" spans="4:4" x14ac:dyDescent="0.2">
      <c r="D2235" s="1"/>
    </row>
    <row r="2236" spans="4:4" x14ac:dyDescent="0.2">
      <c r="D2236" s="1"/>
    </row>
    <row r="2237" spans="4:4" x14ac:dyDescent="0.2">
      <c r="D2237" s="1"/>
    </row>
    <row r="2238" spans="4:4" x14ac:dyDescent="0.2">
      <c r="D2238" s="1"/>
    </row>
    <row r="2239" spans="4:4" x14ac:dyDescent="0.2">
      <c r="D2239" s="1"/>
    </row>
    <row r="2240" spans="4:4" x14ac:dyDescent="0.2">
      <c r="D2240" s="1"/>
    </row>
    <row r="2241" spans="4:4" x14ac:dyDescent="0.2">
      <c r="D2241" s="1"/>
    </row>
    <row r="2242" spans="4:4" x14ac:dyDescent="0.2">
      <c r="D2242" s="1"/>
    </row>
    <row r="2243" spans="4:4" x14ac:dyDescent="0.2">
      <c r="D2243" s="1"/>
    </row>
    <row r="2244" spans="4:4" x14ac:dyDescent="0.2">
      <c r="D2244" s="1"/>
    </row>
    <row r="2245" spans="4:4" x14ac:dyDescent="0.2">
      <c r="D2245" s="1"/>
    </row>
    <row r="2246" spans="4:4" x14ac:dyDescent="0.2">
      <c r="D2246" s="1"/>
    </row>
    <row r="2247" spans="4:4" x14ac:dyDescent="0.2">
      <c r="D2247" s="1"/>
    </row>
    <row r="2248" spans="4:4" x14ac:dyDescent="0.2">
      <c r="D2248" s="1"/>
    </row>
    <row r="2249" spans="4:4" x14ac:dyDescent="0.2">
      <c r="D2249" s="1"/>
    </row>
    <row r="2250" spans="4:4" x14ac:dyDescent="0.2">
      <c r="D2250" s="1"/>
    </row>
    <row r="2251" spans="4:4" x14ac:dyDescent="0.2">
      <c r="D2251" s="1"/>
    </row>
    <row r="2252" spans="4:4" x14ac:dyDescent="0.2">
      <c r="D2252" s="1"/>
    </row>
    <row r="2253" spans="4:4" x14ac:dyDescent="0.2">
      <c r="D2253" s="1"/>
    </row>
    <row r="2254" spans="4:4" x14ac:dyDescent="0.2">
      <c r="D2254" s="1"/>
    </row>
    <row r="2255" spans="4:4" x14ac:dyDescent="0.2">
      <c r="D2255" s="1"/>
    </row>
    <row r="2256" spans="4:4" x14ac:dyDescent="0.2">
      <c r="D2256" s="1"/>
    </row>
    <row r="2257" spans="4:4" x14ac:dyDescent="0.2">
      <c r="D2257" s="1"/>
    </row>
    <row r="2258" spans="4:4" x14ac:dyDescent="0.2">
      <c r="D2258" s="1"/>
    </row>
    <row r="2259" spans="4:4" x14ac:dyDescent="0.2">
      <c r="D2259" s="1"/>
    </row>
    <row r="2260" spans="4:4" x14ac:dyDescent="0.2">
      <c r="D2260" s="1"/>
    </row>
    <row r="2261" spans="4:4" x14ac:dyDescent="0.2">
      <c r="D2261" s="1"/>
    </row>
    <row r="2262" spans="4:4" x14ac:dyDescent="0.2">
      <c r="D2262" s="1"/>
    </row>
    <row r="2263" spans="4:4" x14ac:dyDescent="0.2">
      <c r="D2263" s="1"/>
    </row>
    <row r="2264" spans="4:4" x14ac:dyDescent="0.2">
      <c r="D2264" s="1"/>
    </row>
    <row r="2265" spans="4:4" x14ac:dyDescent="0.2">
      <c r="D2265" s="1"/>
    </row>
    <row r="2266" spans="4:4" x14ac:dyDescent="0.2">
      <c r="D2266" s="1"/>
    </row>
    <row r="2267" spans="4:4" x14ac:dyDescent="0.2">
      <c r="D2267" s="1"/>
    </row>
    <row r="2268" spans="4:4" x14ac:dyDescent="0.2">
      <c r="D2268" s="1"/>
    </row>
    <row r="2269" spans="4:4" x14ac:dyDescent="0.2">
      <c r="D2269" s="1"/>
    </row>
    <row r="2270" spans="4:4" x14ac:dyDescent="0.2">
      <c r="D2270" s="1"/>
    </row>
    <row r="2271" spans="4:4" x14ac:dyDescent="0.2">
      <c r="D2271" s="1"/>
    </row>
    <row r="2272" spans="4:4" x14ac:dyDescent="0.2">
      <c r="D2272" s="1"/>
    </row>
    <row r="2273" spans="4:4" x14ac:dyDescent="0.2">
      <c r="D2273" s="1"/>
    </row>
    <row r="2274" spans="4:4" x14ac:dyDescent="0.2">
      <c r="D2274" s="1"/>
    </row>
    <row r="2275" spans="4:4" x14ac:dyDescent="0.2">
      <c r="D2275" s="1"/>
    </row>
    <row r="2276" spans="4:4" x14ac:dyDescent="0.2">
      <c r="D2276" s="1"/>
    </row>
    <row r="2277" spans="4:4" x14ac:dyDescent="0.2">
      <c r="D2277" s="1"/>
    </row>
    <row r="2278" spans="4:4" x14ac:dyDescent="0.2">
      <c r="D2278" s="1"/>
    </row>
    <row r="2279" spans="4:4" x14ac:dyDescent="0.2">
      <c r="D2279" s="1"/>
    </row>
    <row r="2280" spans="4:4" x14ac:dyDescent="0.2">
      <c r="D2280" s="1"/>
    </row>
    <row r="2281" spans="4:4" x14ac:dyDescent="0.2">
      <c r="D2281" s="1"/>
    </row>
    <row r="2282" spans="4:4" x14ac:dyDescent="0.2">
      <c r="D2282" s="1"/>
    </row>
    <row r="2283" spans="4:4" x14ac:dyDescent="0.2">
      <c r="D2283" s="1"/>
    </row>
    <row r="2284" spans="4:4" x14ac:dyDescent="0.2">
      <c r="D2284" s="1"/>
    </row>
    <row r="2285" spans="4:4" x14ac:dyDescent="0.2">
      <c r="D2285" s="1"/>
    </row>
    <row r="2286" spans="4:4" x14ac:dyDescent="0.2">
      <c r="D2286" s="1"/>
    </row>
    <row r="2287" spans="4:4" x14ac:dyDescent="0.2">
      <c r="D2287" s="1"/>
    </row>
    <row r="2288" spans="4:4" x14ac:dyDescent="0.2">
      <c r="D2288" s="1"/>
    </row>
    <row r="2289" spans="4:4" x14ac:dyDescent="0.2">
      <c r="D2289" s="1"/>
    </row>
    <row r="2290" spans="4:4" x14ac:dyDescent="0.2">
      <c r="D2290" s="1"/>
    </row>
    <row r="2291" spans="4:4" x14ac:dyDescent="0.2">
      <c r="D2291" s="1"/>
    </row>
    <row r="2292" spans="4:4" x14ac:dyDescent="0.2">
      <c r="D2292" s="1"/>
    </row>
    <row r="2293" spans="4:4" x14ac:dyDescent="0.2">
      <c r="D2293" s="1"/>
    </row>
    <row r="2294" spans="4:4" x14ac:dyDescent="0.2">
      <c r="D2294" s="1"/>
    </row>
    <row r="2295" spans="4:4" x14ac:dyDescent="0.2">
      <c r="D2295" s="1"/>
    </row>
    <row r="2296" spans="4:4" x14ac:dyDescent="0.2">
      <c r="D2296" s="1"/>
    </row>
    <row r="2297" spans="4:4" x14ac:dyDescent="0.2">
      <c r="D2297" s="1"/>
    </row>
    <row r="2298" spans="4:4" x14ac:dyDescent="0.2">
      <c r="D2298" s="1"/>
    </row>
    <row r="2299" spans="4:4" x14ac:dyDescent="0.2">
      <c r="D2299" s="1"/>
    </row>
    <row r="2300" spans="4:4" x14ac:dyDescent="0.2">
      <c r="D2300" s="1"/>
    </row>
    <row r="2301" spans="4:4" x14ac:dyDescent="0.2">
      <c r="D2301" s="1"/>
    </row>
    <row r="2302" spans="4:4" x14ac:dyDescent="0.2">
      <c r="D2302" s="1"/>
    </row>
    <row r="2303" spans="4:4" x14ac:dyDescent="0.2">
      <c r="D2303" s="1"/>
    </row>
    <row r="2304" spans="4:4" x14ac:dyDescent="0.2">
      <c r="D2304" s="1"/>
    </row>
    <row r="2305" spans="4:4" x14ac:dyDescent="0.2">
      <c r="D2305" s="1"/>
    </row>
    <row r="2306" spans="4:4" x14ac:dyDescent="0.2">
      <c r="D2306" s="1"/>
    </row>
    <row r="2307" spans="4:4" x14ac:dyDescent="0.2">
      <c r="D2307" s="1"/>
    </row>
    <row r="2308" spans="4:4" x14ac:dyDescent="0.2">
      <c r="D2308" s="1"/>
    </row>
    <row r="2309" spans="4:4" x14ac:dyDescent="0.2">
      <c r="D2309" s="1"/>
    </row>
    <row r="2310" spans="4:4" x14ac:dyDescent="0.2">
      <c r="D2310" s="1"/>
    </row>
    <row r="2311" spans="4:4" x14ac:dyDescent="0.2">
      <c r="D2311" s="1"/>
    </row>
    <row r="2312" spans="4:4" x14ac:dyDescent="0.2">
      <c r="D2312" s="1"/>
    </row>
    <row r="2313" spans="4:4" x14ac:dyDescent="0.2">
      <c r="D2313" s="1"/>
    </row>
    <row r="2314" spans="4:4" x14ac:dyDescent="0.2">
      <c r="D2314" s="1"/>
    </row>
    <row r="2315" spans="4:4" x14ac:dyDescent="0.2">
      <c r="D2315" s="1"/>
    </row>
    <row r="2316" spans="4:4" x14ac:dyDescent="0.2">
      <c r="D2316" s="1"/>
    </row>
    <row r="2317" spans="4:4" x14ac:dyDescent="0.2">
      <c r="D2317" s="1"/>
    </row>
    <row r="2318" spans="4:4" x14ac:dyDescent="0.2">
      <c r="D2318" s="1"/>
    </row>
    <row r="2319" spans="4:4" x14ac:dyDescent="0.2">
      <c r="D2319" s="1"/>
    </row>
    <row r="2320" spans="4:4" x14ac:dyDescent="0.2">
      <c r="D2320" s="1"/>
    </row>
    <row r="2321" spans="4:4" x14ac:dyDescent="0.2">
      <c r="D2321" s="1"/>
    </row>
    <row r="2322" spans="4:4" x14ac:dyDescent="0.2">
      <c r="D2322" s="1"/>
    </row>
    <row r="2323" spans="4:4" x14ac:dyDescent="0.2">
      <c r="D2323" s="1"/>
    </row>
    <row r="2324" spans="4:4" x14ac:dyDescent="0.2">
      <c r="D2324" s="1"/>
    </row>
    <row r="2325" spans="4:4" x14ac:dyDescent="0.2">
      <c r="D2325" s="1"/>
    </row>
    <row r="2326" spans="4:4" x14ac:dyDescent="0.2">
      <c r="D2326" s="1"/>
    </row>
    <row r="2327" spans="4:4" x14ac:dyDescent="0.2">
      <c r="D2327" s="1"/>
    </row>
    <row r="2328" spans="4:4" x14ac:dyDescent="0.2">
      <c r="D2328" s="1"/>
    </row>
    <row r="2329" spans="4:4" x14ac:dyDescent="0.2">
      <c r="D2329" s="1"/>
    </row>
    <row r="2330" spans="4:4" x14ac:dyDescent="0.2">
      <c r="D2330" s="1"/>
    </row>
    <row r="2331" spans="4:4" x14ac:dyDescent="0.2">
      <c r="D2331" s="1"/>
    </row>
    <row r="2332" spans="4:4" x14ac:dyDescent="0.2">
      <c r="D2332" s="1"/>
    </row>
    <row r="2333" spans="4:4" x14ac:dyDescent="0.2">
      <c r="D2333" s="1"/>
    </row>
    <row r="2334" spans="4:4" x14ac:dyDescent="0.2">
      <c r="D2334" s="1"/>
    </row>
    <row r="2335" spans="4:4" x14ac:dyDescent="0.2">
      <c r="D2335" s="1"/>
    </row>
    <row r="2336" spans="4:4" x14ac:dyDescent="0.2">
      <c r="D2336" s="1"/>
    </row>
    <row r="2337" spans="4:4" x14ac:dyDescent="0.2">
      <c r="D2337" s="1"/>
    </row>
    <row r="2338" spans="4:4" x14ac:dyDescent="0.2">
      <c r="D2338" s="1"/>
    </row>
    <row r="2339" spans="4:4" x14ac:dyDescent="0.2">
      <c r="D2339" s="1"/>
    </row>
    <row r="2340" spans="4:4" x14ac:dyDescent="0.2">
      <c r="D2340" s="1"/>
    </row>
    <row r="2341" spans="4:4" x14ac:dyDescent="0.2">
      <c r="D2341" s="1"/>
    </row>
    <row r="2342" spans="4:4" x14ac:dyDescent="0.2">
      <c r="D2342" s="1"/>
    </row>
    <row r="2343" spans="4:4" x14ac:dyDescent="0.2">
      <c r="D2343" s="1"/>
    </row>
    <row r="2344" spans="4:4" x14ac:dyDescent="0.2">
      <c r="D2344" s="1"/>
    </row>
    <row r="2345" spans="4:4" x14ac:dyDescent="0.2">
      <c r="D2345" s="1"/>
    </row>
    <row r="2346" spans="4:4" x14ac:dyDescent="0.2">
      <c r="D2346" s="1"/>
    </row>
    <row r="2347" spans="4:4" x14ac:dyDescent="0.2">
      <c r="D2347" s="1"/>
    </row>
    <row r="2348" spans="4:4" x14ac:dyDescent="0.2">
      <c r="D2348" s="1"/>
    </row>
    <row r="2349" spans="4:4" x14ac:dyDescent="0.2">
      <c r="D2349" s="1"/>
    </row>
    <row r="2350" spans="4:4" x14ac:dyDescent="0.2">
      <c r="D2350" s="1"/>
    </row>
    <row r="2351" spans="4:4" x14ac:dyDescent="0.2">
      <c r="D2351" s="1"/>
    </row>
    <row r="2352" spans="4:4" x14ac:dyDescent="0.2">
      <c r="D2352" s="1"/>
    </row>
    <row r="2353" spans="4:4" x14ac:dyDescent="0.2">
      <c r="D2353" s="1"/>
    </row>
    <row r="2354" spans="4:4" x14ac:dyDescent="0.2">
      <c r="D2354" s="1"/>
    </row>
    <row r="2355" spans="4:4" x14ac:dyDescent="0.2">
      <c r="D2355" s="1"/>
    </row>
    <row r="2356" spans="4:4" x14ac:dyDescent="0.2">
      <c r="D2356" s="1"/>
    </row>
    <row r="2357" spans="4:4" x14ac:dyDescent="0.2">
      <c r="D2357" s="1"/>
    </row>
    <row r="2358" spans="4:4" x14ac:dyDescent="0.2">
      <c r="D2358" s="1"/>
    </row>
    <row r="2359" spans="4:4" x14ac:dyDescent="0.2">
      <c r="D2359" s="1"/>
    </row>
    <row r="2360" spans="4:4" x14ac:dyDescent="0.2">
      <c r="D2360" s="1"/>
    </row>
    <row r="2361" spans="4:4" x14ac:dyDescent="0.2">
      <c r="D2361" s="1"/>
    </row>
    <row r="2362" spans="4:4" x14ac:dyDescent="0.2">
      <c r="D2362" s="1"/>
    </row>
    <row r="2363" spans="4:4" x14ac:dyDescent="0.2">
      <c r="D2363" s="1"/>
    </row>
    <row r="2364" spans="4:4" x14ac:dyDescent="0.2">
      <c r="D2364" s="1"/>
    </row>
    <row r="2365" spans="4:4" x14ac:dyDescent="0.2">
      <c r="D2365" s="1"/>
    </row>
    <row r="2366" spans="4:4" x14ac:dyDescent="0.2">
      <c r="D2366" s="1"/>
    </row>
    <row r="2367" spans="4:4" x14ac:dyDescent="0.2">
      <c r="D2367" s="1"/>
    </row>
    <row r="2368" spans="4:4" x14ac:dyDescent="0.2">
      <c r="D2368" s="1"/>
    </row>
    <row r="2369" spans="4:4" x14ac:dyDescent="0.2">
      <c r="D2369" s="1"/>
    </row>
    <row r="2370" spans="4:4" x14ac:dyDescent="0.2">
      <c r="D2370" s="1"/>
    </row>
    <row r="2371" spans="4:4" x14ac:dyDescent="0.2">
      <c r="D2371" s="1"/>
    </row>
    <row r="2372" spans="4:4" x14ac:dyDescent="0.2">
      <c r="D2372" s="1"/>
    </row>
    <row r="2373" spans="4:4" x14ac:dyDescent="0.2">
      <c r="D2373" s="1"/>
    </row>
    <row r="2374" spans="4:4" x14ac:dyDescent="0.2">
      <c r="D2374" s="1"/>
    </row>
    <row r="2375" spans="4:4" x14ac:dyDescent="0.2">
      <c r="D2375" s="1"/>
    </row>
    <row r="2376" spans="4:4" x14ac:dyDescent="0.2">
      <c r="D2376" s="1"/>
    </row>
    <row r="2377" spans="4:4" x14ac:dyDescent="0.2">
      <c r="D2377" s="1"/>
    </row>
    <row r="2378" spans="4:4" x14ac:dyDescent="0.2">
      <c r="D2378" s="1"/>
    </row>
    <row r="2379" spans="4:4" x14ac:dyDescent="0.2">
      <c r="D2379" s="1"/>
    </row>
    <row r="2380" spans="4:4" x14ac:dyDescent="0.2">
      <c r="D2380" s="1"/>
    </row>
    <row r="2381" spans="4:4" x14ac:dyDescent="0.2">
      <c r="D2381" s="1"/>
    </row>
    <row r="2383" spans="4:4" x14ac:dyDescent="0.2">
      <c r="D2383" s="1"/>
    </row>
    <row r="2384" spans="4:4" x14ac:dyDescent="0.2">
      <c r="D2384" s="1"/>
    </row>
    <row r="2385" spans="4:4" x14ac:dyDescent="0.2">
      <c r="D2385" s="1"/>
    </row>
    <row r="2386" spans="4:4" x14ac:dyDescent="0.2">
      <c r="D2386" s="1"/>
    </row>
    <row r="2387" spans="4:4" x14ac:dyDescent="0.2">
      <c r="D2387" s="1"/>
    </row>
    <row r="2389" spans="4:4" x14ac:dyDescent="0.2">
      <c r="D2389" s="1"/>
    </row>
    <row r="2391" spans="4:4" x14ac:dyDescent="0.2">
      <c r="D2391" s="1"/>
    </row>
    <row r="2393" spans="4:4" x14ac:dyDescent="0.2">
      <c r="D2393" s="1"/>
    </row>
    <row r="2394" spans="4:4" x14ac:dyDescent="0.2">
      <c r="D2394" s="1"/>
    </row>
    <row r="2396" spans="4:4" x14ac:dyDescent="0.2">
      <c r="D2396" s="1"/>
    </row>
    <row r="2397" spans="4:4" x14ac:dyDescent="0.2">
      <c r="D2397" s="1"/>
    </row>
    <row r="2403" spans="4:4" x14ac:dyDescent="0.2">
      <c r="D2403" s="1"/>
    </row>
    <row r="2405" spans="4:4" x14ac:dyDescent="0.2">
      <c r="D2405" s="1"/>
    </row>
    <row r="2407" spans="4:4" x14ac:dyDescent="0.2">
      <c r="D2407" s="1"/>
    </row>
    <row r="2411" spans="4:4" x14ac:dyDescent="0.2">
      <c r="D2411" s="1"/>
    </row>
    <row r="2428" spans="4:4" x14ac:dyDescent="0.2">
      <c r="D2428" s="1"/>
    </row>
    <row r="2431" spans="4:4" x14ac:dyDescent="0.2">
      <c r="D2431" s="1"/>
    </row>
    <row r="2447" spans="4:4" x14ac:dyDescent="0.2">
      <c r="D2447" s="1"/>
    </row>
  </sheetData>
  <mergeCells count="2">
    <mergeCell ref="A7:D7"/>
    <mergeCell ref="F7:H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5C3D9-E15A-4C56-AF18-0F1FFC05DC6A}">
  <dimension ref="A2:H2447"/>
  <sheetViews>
    <sheetView topLeftCell="A216" workbookViewId="0">
      <selection activeCell="G9" sqref="G9:H257"/>
    </sheetView>
  </sheetViews>
  <sheetFormatPr baseColWidth="10" defaultColWidth="8.83203125" defaultRowHeight="15" x14ac:dyDescent="0.2"/>
  <cols>
    <col min="1" max="1" width="16.1640625" customWidth="1"/>
    <col min="2" max="2" width="17.33203125" customWidth="1"/>
    <col min="3" max="3" width="14" customWidth="1"/>
    <col min="4" max="4" width="15.1640625" customWidth="1"/>
    <col min="5" max="5" width="10.33203125" customWidth="1"/>
    <col min="6" max="6" width="13.6640625" customWidth="1"/>
    <col min="7" max="7" width="12.6640625" customWidth="1"/>
  </cols>
  <sheetData>
    <row r="2" spans="1:8" x14ac:dyDescent="0.2">
      <c r="B2" t="s">
        <v>21</v>
      </c>
    </row>
    <row r="3" spans="1:8" x14ac:dyDescent="0.2"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8" x14ac:dyDescent="0.2">
      <c r="C4" s="1">
        <f>'sample info summary'!B10*10^-6</f>
        <v>8.2519999999999989E-5</v>
      </c>
      <c r="D4">
        <f>'sample info summary'!C10</f>
        <v>4.03</v>
      </c>
      <c r="E4">
        <f>'sample info summary'!D10</f>
        <v>4.01</v>
      </c>
      <c r="F4">
        <f>'sample info summary'!E10</f>
        <v>1E-4</v>
      </c>
      <c r="G4" s="1">
        <f>(D4*E4*F4)*0.000000001</f>
        <v>1.6160300000000001E-12</v>
      </c>
    </row>
    <row r="7" spans="1:8" x14ac:dyDescent="0.2">
      <c r="A7" s="17" t="s">
        <v>9</v>
      </c>
      <c r="B7" s="17"/>
      <c r="C7" s="17"/>
      <c r="D7" s="17"/>
      <c r="F7" s="17" t="s">
        <v>10</v>
      </c>
      <c r="G7" s="17"/>
      <c r="H7" s="17"/>
    </row>
    <row r="8" spans="1:8" x14ac:dyDescent="0.2">
      <c r="A8" t="s">
        <v>11</v>
      </c>
      <c r="B8" t="s">
        <v>12</v>
      </c>
      <c r="C8" t="s">
        <v>13</v>
      </c>
      <c r="D8" t="s">
        <v>14</v>
      </c>
      <c r="F8" t="s">
        <v>16</v>
      </c>
      <c r="G8" t="s">
        <v>15</v>
      </c>
      <c r="H8" t="s">
        <v>17</v>
      </c>
    </row>
    <row r="9" spans="1:8" x14ac:dyDescent="0.2">
      <c r="A9">
        <v>293.16128540039102</v>
      </c>
      <c r="B9">
        <v>-0.29054772853851302</v>
      </c>
      <c r="C9" s="1">
        <v>1.9984911100144701E-5</v>
      </c>
      <c r="D9" s="1">
        <v>2.89431251593608E-7</v>
      </c>
      <c r="F9">
        <f t="shared" ref="F9:F72" si="0">C9/1000</f>
        <v>1.99849111001447E-8</v>
      </c>
      <c r="G9">
        <f t="shared" ref="G9:G72" si="1">(B9*1000)/(4*PI())</f>
        <v>-23.121053600513246</v>
      </c>
      <c r="H9">
        <f t="shared" ref="H9:H72" si="2">F9/$G$4</f>
        <v>12366.670853972202</v>
      </c>
    </row>
    <row r="10" spans="1:8" x14ac:dyDescent="0.2">
      <c r="A10">
        <v>293.15087890625</v>
      </c>
      <c r="B10">
        <v>1.20758897066116</v>
      </c>
      <c r="C10" s="1">
        <v>2.0744076496183299E-5</v>
      </c>
      <c r="D10" s="1">
        <v>2.6523677429623602E-7</v>
      </c>
      <c r="F10">
        <f t="shared" si="0"/>
        <v>2.0744076496183299E-8</v>
      </c>
      <c r="G10">
        <f t="shared" si="1"/>
        <v>96.096876951988691</v>
      </c>
      <c r="H10">
        <f t="shared" si="2"/>
        <v>12836.442699815781</v>
      </c>
    </row>
    <row r="11" spans="1:8" x14ac:dyDescent="0.2">
      <c r="A11">
        <v>293.14619445800798</v>
      </c>
      <c r="B11">
        <v>1.1803500652313199</v>
      </c>
      <c r="C11" s="1">
        <v>2.03194489525097E-5</v>
      </c>
      <c r="D11" s="1">
        <v>3.4169296076144803E-7</v>
      </c>
      <c r="F11">
        <f t="shared" si="0"/>
        <v>2.0319448952509701E-8</v>
      </c>
      <c r="G11">
        <f t="shared" si="1"/>
        <v>93.929273730202837</v>
      </c>
      <c r="H11">
        <f t="shared" si="2"/>
        <v>12573.683008675394</v>
      </c>
    </row>
    <row r="12" spans="1:8" x14ac:dyDescent="0.2">
      <c r="A12">
        <v>293.13952636718801</v>
      </c>
      <c r="B12">
        <v>1.05323547124863</v>
      </c>
      <c r="C12" s="1">
        <v>2.0751383138727299E-5</v>
      </c>
      <c r="D12" s="1">
        <v>4.0494501434472499E-7</v>
      </c>
      <c r="F12">
        <f t="shared" si="0"/>
        <v>2.0751383138727299E-8</v>
      </c>
      <c r="G12">
        <f t="shared" si="1"/>
        <v>83.813815744470645</v>
      </c>
      <c r="H12">
        <f t="shared" si="2"/>
        <v>12840.964053097588</v>
      </c>
    </row>
    <row r="13" spans="1:8" x14ac:dyDescent="0.2">
      <c r="A13">
        <v>293.13214111328102</v>
      </c>
      <c r="B13">
        <v>1.5616940259933501</v>
      </c>
      <c r="C13" s="1">
        <v>2.0677881106057499E-5</v>
      </c>
      <c r="D13" s="1">
        <v>2.6029223073611202E-7</v>
      </c>
      <c r="F13">
        <f t="shared" si="0"/>
        <v>2.0677881106057498E-8</v>
      </c>
      <c r="G13">
        <f t="shared" si="1"/>
        <v>124.27566191696228</v>
      </c>
      <c r="H13">
        <f t="shared" si="2"/>
        <v>12795.480966354273</v>
      </c>
    </row>
    <row r="14" spans="1:8" x14ac:dyDescent="0.2">
      <c r="A14">
        <v>293.12518310546898</v>
      </c>
      <c r="B14">
        <v>1.9793562889099099</v>
      </c>
      <c r="C14" s="1">
        <v>2.0366400178732699E-5</v>
      </c>
      <c r="D14" s="1">
        <v>2.6461930031461101E-7</v>
      </c>
      <c r="F14">
        <f t="shared" si="0"/>
        <v>2.0366400178732697E-8</v>
      </c>
      <c r="G14">
        <f t="shared" si="1"/>
        <v>157.51216876002093</v>
      </c>
      <c r="H14">
        <f t="shared" si="2"/>
        <v>12602.736445940172</v>
      </c>
    </row>
    <row r="15" spans="1:8" x14ac:dyDescent="0.2">
      <c r="A15">
        <v>293.11849975585898</v>
      </c>
      <c r="B15">
        <v>2.6694071292877202</v>
      </c>
      <c r="C15" s="1">
        <v>2.0587103920761602E-5</v>
      </c>
      <c r="D15" s="1">
        <v>2.9800613248595101E-7</v>
      </c>
      <c r="F15">
        <f t="shared" si="0"/>
        <v>2.0587103920761601E-8</v>
      </c>
      <c r="G15">
        <f t="shared" si="1"/>
        <v>212.42466987544341</v>
      </c>
      <c r="H15">
        <f t="shared" si="2"/>
        <v>12739.30800836717</v>
      </c>
    </row>
    <row r="16" spans="1:8" x14ac:dyDescent="0.2">
      <c r="A16">
        <v>293.10969543457003</v>
      </c>
      <c r="B16">
        <v>3.6409261226654102</v>
      </c>
      <c r="C16" s="1">
        <v>2.0770227812259799E-5</v>
      </c>
      <c r="D16" s="1">
        <v>3.2274271223715301E-7</v>
      </c>
      <c r="F16">
        <f t="shared" si="0"/>
        <v>2.0770227812259799E-8</v>
      </c>
      <c r="G16">
        <f t="shared" si="1"/>
        <v>289.73569492730428</v>
      </c>
      <c r="H16">
        <f t="shared" si="2"/>
        <v>12852.625144495954</v>
      </c>
    </row>
    <row r="17" spans="1:8" x14ac:dyDescent="0.2">
      <c r="A17">
        <v>293.10360717773398</v>
      </c>
      <c r="B17">
        <v>4.1584644317626998</v>
      </c>
      <c r="C17" s="1">
        <v>2.1618776423287099E-5</v>
      </c>
      <c r="D17" s="1">
        <v>3.3116032916527602E-7</v>
      </c>
      <c r="F17">
        <f t="shared" si="0"/>
        <v>2.1618776423287098E-8</v>
      </c>
      <c r="G17">
        <f t="shared" si="1"/>
        <v>330.92008499343171</v>
      </c>
      <c r="H17">
        <f t="shared" si="2"/>
        <v>13377.707358951935</v>
      </c>
    </row>
    <row r="18" spans="1:8" x14ac:dyDescent="0.2">
      <c r="A18">
        <v>293.09407043457003</v>
      </c>
      <c r="B18">
        <v>5.8291134834289497</v>
      </c>
      <c r="C18" s="1">
        <v>2.1217166893179601E-5</v>
      </c>
      <c r="D18" s="1">
        <v>2.8414950083992602E-7</v>
      </c>
      <c r="F18">
        <f t="shared" si="0"/>
        <v>2.1217166893179601E-8</v>
      </c>
      <c r="G18">
        <f t="shared" si="1"/>
        <v>463.86611236566716</v>
      </c>
      <c r="H18">
        <f t="shared" si="2"/>
        <v>13129.191223665153</v>
      </c>
    </row>
    <row r="19" spans="1:8" x14ac:dyDescent="0.2">
      <c r="A19">
        <v>293.08830261230497</v>
      </c>
      <c r="B19">
        <v>7.2092151641845703</v>
      </c>
      <c r="C19" s="1">
        <v>2.12179816779327E-5</v>
      </c>
      <c r="D19" s="1">
        <v>3.9644196614945802E-7</v>
      </c>
      <c r="F19">
        <f t="shared" si="0"/>
        <v>2.1217981677932698E-8</v>
      </c>
      <c r="G19">
        <f t="shared" si="1"/>
        <v>573.69111459651208</v>
      </c>
      <c r="H19">
        <f t="shared" si="2"/>
        <v>13129.695412791036</v>
      </c>
    </row>
    <row r="20" spans="1:8" x14ac:dyDescent="0.2">
      <c r="A20">
        <v>293.08113098144503</v>
      </c>
      <c r="B20">
        <v>8.8707852363586408</v>
      </c>
      <c r="C20" s="1">
        <v>2.1864903982881798E-5</v>
      </c>
      <c r="D20" s="1">
        <v>2.7413102514489101E-7</v>
      </c>
      <c r="F20">
        <f t="shared" si="0"/>
        <v>2.1864903982881798E-8</v>
      </c>
      <c r="G20">
        <f t="shared" si="1"/>
        <v>705.91465973654238</v>
      </c>
      <c r="H20">
        <f t="shared" si="2"/>
        <v>13530.011189694373</v>
      </c>
    </row>
    <row r="21" spans="1:8" x14ac:dyDescent="0.2">
      <c r="A21">
        <v>293.07676696777298</v>
      </c>
      <c r="B21">
        <v>10.9954152107239</v>
      </c>
      <c r="C21" s="1">
        <v>2.1917052162757001E-5</v>
      </c>
      <c r="D21" s="1">
        <v>2.93371201825989E-7</v>
      </c>
      <c r="F21">
        <f t="shared" si="0"/>
        <v>2.1917052162757001E-8</v>
      </c>
      <c r="G21">
        <f t="shared" si="1"/>
        <v>874.98734106726147</v>
      </c>
      <c r="H21">
        <f t="shared" si="2"/>
        <v>13562.280503924432</v>
      </c>
    </row>
    <row r="22" spans="1:8" x14ac:dyDescent="0.2">
      <c r="A22">
        <v>293.07142639160202</v>
      </c>
      <c r="B22">
        <v>13.583106040954601</v>
      </c>
      <c r="C22" s="1">
        <v>2.28499545819989E-5</v>
      </c>
      <c r="D22" s="1">
        <v>2.97298218365184E-7</v>
      </c>
      <c r="F22">
        <f t="shared" si="0"/>
        <v>2.28499545819989E-8</v>
      </c>
      <c r="G22">
        <f t="shared" si="1"/>
        <v>1080.9092344796547</v>
      </c>
      <c r="H22">
        <f t="shared" si="2"/>
        <v>14139.560888101643</v>
      </c>
    </row>
    <row r="23" spans="1:8" x14ac:dyDescent="0.2">
      <c r="A23">
        <v>293.06626892089798</v>
      </c>
      <c r="B23">
        <v>16.661095619201699</v>
      </c>
      <c r="C23" s="1">
        <v>2.3872951016573602E-5</v>
      </c>
      <c r="D23" s="1">
        <v>3.6948859329688202E-7</v>
      </c>
      <c r="F23">
        <f t="shared" si="0"/>
        <v>2.3872951016573602E-8</v>
      </c>
      <c r="G23">
        <f t="shared" si="1"/>
        <v>1325.8478625613368</v>
      </c>
      <c r="H23">
        <f t="shared" si="2"/>
        <v>14772.591484423927</v>
      </c>
    </row>
    <row r="24" spans="1:8" x14ac:dyDescent="0.2">
      <c r="A24">
        <v>293.06144714355497</v>
      </c>
      <c r="B24">
        <v>20.374659538269</v>
      </c>
      <c r="C24" s="1">
        <v>2.38509881924408E-5</v>
      </c>
      <c r="D24" s="1">
        <v>2.97898307499423E-7</v>
      </c>
      <c r="F24">
        <f t="shared" si="0"/>
        <v>2.3850988192440799E-8</v>
      </c>
      <c r="G24">
        <f t="shared" si="1"/>
        <v>1621.3638896649727</v>
      </c>
      <c r="H24">
        <f t="shared" si="2"/>
        <v>14759.000880206926</v>
      </c>
    </row>
    <row r="25" spans="1:8" x14ac:dyDescent="0.2">
      <c r="A25">
        <v>293.05804443359398</v>
      </c>
      <c r="B25">
        <v>25.422924995422399</v>
      </c>
      <c r="C25" s="1">
        <v>2.5117870609643799E-5</v>
      </c>
      <c r="D25" s="1">
        <v>3.1946400923621998E-7</v>
      </c>
      <c r="F25">
        <f t="shared" si="0"/>
        <v>2.51178706096438E-8</v>
      </c>
      <c r="G25">
        <f t="shared" si="1"/>
        <v>2023.0920904379877</v>
      </c>
      <c r="H25">
        <f t="shared" si="2"/>
        <v>15542.948218562649</v>
      </c>
    </row>
    <row r="26" spans="1:8" x14ac:dyDescent="0.2">
      <c r="A26">
        <v>293.05290222167997</v>
      </c>
      <c r="B26">
        <v>30.9524116516113</v>
      </c>
      <c r="C26" s="1">
        <v>2.6147460621805701E-5</v>
      </c>
      <c r="D26" s="1">
        <v>3.3636561323668102E-7</v>
      </c>
      <c r="F26">
        <f t="shared" si="0"/>
        <v>2.6147460621805702E-8</v>
      </c>
      <c r="G26">
        <f t="shared" si="1"/>
        <v>2463.1146574845575</v>
      </c>
      <c r="H26">
        <f t="shared" si="2"/>
        <v>16180.058923290842</v>
      </c>
    </row>
    <row r="27" spans="1:8" x14ac:dyDescent="0.2">
      <c r="A27">
        <v>293.04949951171898</v>
      </c>
      <c r="B27">
        <v>38.3159790039063</v>
      </c>
      <c r="C27" s="1">
        <v>2.78173547613658E-5</v>
      </c>
      <c r="D27" s="1">
        <v>3.82548603414134E-7</v>
      </c>
      <c r="F27">
        <f t="shared" si="0"/>
        <v>2.7817354761365799E-8</v>
      </c>
      <c r="G27">
        <f t="shared" si="1"/>
        <v>3049.0887289384818</v>
      </c>
      <c r="H27">
        <f t="shared" si="2"/>
        <v>17213.390074049243</v>
      </c>
    </row>
    <row r="28" spans="1:8" x14ac:dyDescent="0.2">
      <c r="A28">
        <v>293.04429626464798</v>
      </c>
      <c r="B28">
        <v>47.041490554809599</v>
      </c>
      <c r="C28" s="1">
        <v>2.9076468684115299E-5</v>
      </c>
      <c r="D28" s="1">
        <v>3.0376470517452397E-7</v>
      </c>
      <c r="F28">
        <f t="shared" si="0"/>
        <v>2.9076468684115297E-8</v>
      </c>
      <c r="G28">
        <f t="shared" si="1"/>
        <v>3743.4428761043268</v>
      </c>
      <c r="H28">
        <f t="shared" si="2"/>
        <v>17992.530264979792</v>
      </c>
    </row>
    <row r="29" spans="1:8" x14ac:dyDescent="0.2">
      <c r="A29">
        <v>293.04209899902298</v>
      </c>
      <c r="B29">
        <v>58.191261291503899</v>
      </c>
      <c r="C29" s="1">
        <v>3.1576284990331299E-5</v>
      </c>
      <c r="D29" s="1">
        <v>2.9079099144274599E-7</v>
      </c>
      <c r="F29">
        <f t="shared" si="0"/>
        <v>3.1576284990331297E-8</v>
      </c>
      <c r="G29">
        <f t="shared" si="1"/>
        <v>4630.7134396474576</v>
      </c>
      <c r="H29">
        <f t="shared" si="2"/>
        <v>19539.417579086585</v>
      </c>
    </row>
    <row r="30" spans="1:8" x14ac:dyDescent="0.2">
      <c r="A30">
        <v>293.03721618652298</v>
      </c>
      <c r="B30">
        <v>71.674488067626996</v>
      </c>
      <c r="C30" s="1">
        <v>3.3414495029642199E-5</v>
      </c>
      <c r="D30" s="1">
        <v>3.36111906207141E-7</v>
      </c>
      <c r="F30">
        <f t="shared" si="0"/>
        <v>3.3414495029642202E-8</v>
      </c>
      <c r="G30">
        <f t="shared" si="1"/>
        <v>5703.6745347719534</v>
      </c>
      <c r="H30">
        <f t="shared" si="2"/>
        <v>20676.902674852696</v>
      </c>
    </row>
    <row r="31" spans="1:8" x14ac:dyDescent="0.2">
      <c r="A31">
        <v>293.03536987304699</v>
      </c>
      <c r="B31">
        <v>88.299266815185504</v>
      </c>
      <c r="C31" s="1">
        <v>3.7877342758885602E-5</v>
      </c>
      <c r="D31" s="1">
        <v>2.6072626186521803E-7</v>
      </c>
      <c r="F31">
        <f t="shared" si="0"/>
        <v>3.7877342758885602E-8</v>
      </c>
      <c r="G31">
        <f t="shared" si="1"/>
        <v>7026.6323925134657</v>
      </c>
      <c r="H31">
        <f t="shared" si="2"/>
        <v>23438.514606093697</v>
      </c>
    </row>
    <row r="32" spans="1:8" x14ac:dyDescent="0.2">
      <c r="A32">
        <v>293.03245544433599</v>
      </c>
      <c r="B32">
        <v>108.58312606811501</v>
      </c>
      <c r="C32" s="1">
        <v>4.1819454836428199E-5</v>
      </c>
      <c r="D32" s="1">
        <v>2.9340174014728498E-7</v>
      </c>
      <c r="F32">
        <f t="shared" si="0"/>
        <v>4.1819454836428199E-8</v>
      </c>
      <c r="G32">
        <f t="shared" si="1"/>
        <v>8640.7706250554711</v>
      </c>
      <c r="H32">
        <f t="shared" si="2"/>
        <v>25877.895111123056</v>
      </c>
    </row>
    <row r="33" spans="1:8" x14ac:dyDescent="0.2">
      <c r="A33">
        <v>293.02864074707003</v>
      </c>
      <c r="B33">
        <v>133.824462890625</v>
      </c>
      <c r="C33" s="1">
        <v>4.7341599338117797E-5</v>
      </c>
      <c r="D33" s="1">
        <v>3.2294624797791897E-7</v>
      </c>
      <c r="F33">
        <f t="shared" si="0"/>
        <v>4.7341599338117794E-8</v>
      </c>
      <c r="G33">
        <f t="shared" si="1"/>
        <v>10649.412387830442</v>
      </c>
      <c r="H33">
        <f t="shared" si="2"/>
        <v>29295.00030204748</v>
      </c>
    </row>
    <row r="34" spans="1:8" x14ac:dyDescent="0.2">
      <c r="A34">
        <v>293.02532958984398</v>
      </c>
      <c r="B34">
        <v>164.640678405762</v>
      </c>
      <c r="C34" s="1">
        <v>5.56413528399052E-5</v>
      </c>
      <c r="D34" s="1">
        <v>4.0565522121845601E-7</v>
      </c>
      <c r="F34">
        <f t="shared" si="0"/>
        <v>5.56413528399052E-8</v>
      </c>
      <c r="G34">
        <f t="shared" si="1"/>
        <v>13101.688901140047</v>
      </c>
      <c r="H34">
        <f t="shared" si="2"/>
        <v>34430.891035380031</v>
      </c>
    </row>
    <row r="35" spans="1:8" x14ac:dyDescent="0.2">
      <c r="A35">
        <v>293.02362060546898</v>
      </c>
      <c r="B35">
        <v>202.61163330078099</v>
      </c>
      <c r="C35" s="1">
        <v>6.5091597209553502E-5</v>
      </c>
      <c r="D35" s="1">
        <v>2.7454779897723598E-7</v>
      </c>
      <c r="F35">
        <f t="shared" si="0"/>
        <v>6.5091597209553508E-8</v>
      </c>
      <c r="G35">
        <f t="shared" si="1"/>
        <v>16123.321483870883</v>
      </c>
      <c r="H35">
        <f t="shared" si="2"/>
        <v>40278.705970528703</v>
      </c>
    </row>
    <row r="36" spans="1:8" x14ac:dyDescent="0.2">
      <c r="A36">
        <v>293.02168273925798</v>
      </c>
      <c r="B36">
        <v>249.21730804443399</v>
      </c>
      <c r="C36" s="1">
        <v>7.6956779346390794E-5</v>
      </c>
      <c r="D36" s="1">
        <v>4.0424577240286697E-7</v>
      </c>
      <c r="F36">
        <f t="shared" si="0"/>
        <v>7.69567793463908E-8</v>
      </c>
      <c r="G36">
        <f t="shared" si="1"/>
        <v>19832.083239663621</v>
      </c>
      <c r="H36">
        <f t="shared" si="2"/>
        <v>47620.885346429706</v>
      </c>
    </row>
    <row r="37" spans="1:8" x14ac:dyDescent="0.2">
      <c r="A37">
        <v>293.01899719238298</v>
      </c>
      <c r="B37">
        <v>307.01815795898398</v>
      </c>
      <c r="C37" s="1">
        <v>9.3195616198587304E-5</v>
      </c>
      <c r="D37" s="1">
        <v>3.5024214757144601E-7</v>
      </c>
      <c r="F37">
        <f t="shared" si="0"/>
        <v>9.3195616198587304E-8</v>
      </c>
      <c r="G37">
        <f t="shared" si="1"/>
        <v>24431.728729070313</v>
      </c>
      <c r="H37">
        <f t="shared" si="2"/>
        <v>57669.483981477628</v>
      </c>
    </row>
    <row r="38" spans="1:8" x14ac:dyDescent="0.2">
      <c r="A38">
        <v>293.01574707031301</v>
      </c>
      <c r="B38">
        <v>378.19325256347702</v>
      </c>
      <c r="C38">
        <v>1.1164844588585E-4</v>
      </c>
      <c r="D38" s="1">
        <v>3.7705404812065997E-7</v>
      </c>
      <c r="F38">
        <f t="shared" si="0"/>
        <v>1.1164844588585E-7</v>
      </c>
      <c r="G38">
        <f t="shared" si="1"/>
        <v>30095.662794739495</v>
      </c>
      <c r="H38">
        <f t="shared" si="2"/>
        <v>69088.102254197001</v>
      </c>
    </row>
    <row r="39" spans="1:8" x14ac:dyDescent="0.2">
      <c r="A39">
        <v>293.01315307617199</v>
      </c>
      <c r="B39">
        <v>465.59364318847702</v>
      </c>
      <c r="C39">
        <v>1.3870228750045399E-4</v>
      </c>
      <c r="D39" s="1">
        <v>3.30809661594772E-7</v>
      </c>
      <c r="F39">
        <f t="shared" si="0"/>
        <v>1.3870228750045399E-7</v>
      </c>
      <c r="G39">
        <f t="shared" si="1"/>
        <v>37050.764892805142</v>
      </c>
      <c r="H39">
        <f t="shared" si="2"/>
        <v>85829.030092544053</v>
      </c>
    </row>
    <row r="40" spans="1:8" x14ac:dyDescent="0.2">
      <c r="A40">
        <v>293.01054382324202</v>
      </c>
      <c r="B40">
        <v>573.47763061523403</v>
      </c>
      <c r="C40">
        <v>1.7119322756628901E-4</v>
      </c>
      <c r="D40" s="1">
        <v>2.9945154422305902E-7</v>
      </c>
      <c r="F40">
        <f t="shared" si="0"/>
        <v>1.71193227566289E-7</v>
      </c>
      <c r="G40">
        <f t="shared" si="1"/>
        <v>45635.899832521274</v>
      </c>
      <c r="H40">
        <f t="shared" si="2"/>
        <v>105934.4365923213</v>
      </c>
    </row>
    <row r="41" spans="1:8" x14ac:dyDescent="0.2">
      <c r="A41">
        <v>293.00675964355497</v>
      </c>
      <c r="B41">
        <v>706.139892578125</v>
      </c>
      <c r="C41">
        <v>2.1356110938770801E-4</v>
      </c>
      <c r="D41" s="1">
        <v>2.99263622202571E-7</v>
      </c>
      <c r="F41">
        <f t="shared" si="0"/>
        <v>2.1356110938770801E-7</v>
      </c>
      <c r="G41">
        <f t="shared" si="1"/>
        <v>56192.827209094285</v>
      </c>
      <c r="H41">
        <f t="shared" si="2"/>
        <v>132151.69853759397</v>
      </c>
    </row>
    <row r="42" spans="1:8" x14ac:dyDescent="0.2">
      <c r="A42">
        <v>293.00556945800798</v>
      </c>
      <c r="B42">
        <v>870.21768188476597</v>
      </c>
      <c r="C42">
        <v>2.5980061514491599E-4</v>
      </c>
      <c r="D42" s="1">
        <v>2.5970028449365901E-7</v>
      </c>
      <c r="F42">
        <f t="shared" si="0"/>
        <v>2.59800615144916E-7</v>
      </c>
      <c r="G42">
        <f t="shared" si="1"/>
        <v>69249.7228189655</v>
      </c>
      <c r="H42">
        <f t="shared" si="2"/>
        <v>160764.72289803778</v>
      </c>
    </row>
    <row r="43" spans="1:8" x14ac:dyDescent="0.2">
      <c r="A43">
        <v>293.00382995605497</v>
      </c>
      <c r="B43">
        <v>1071.55810546875</v>
      </c>
      <c r="C43">
        <v>3.10006941725197E-4</v>
      </c>
      <c r="D43" s="1">
        <v>4.0521688322837898E-7</v>
      </c>
      <c r="F43">
        <f t="shared" si="0"/>
        <v>3.1000694172519697E-7</v>
      </c>
      <c r="G43">
        <f t="shared" si="1"/>
        <v>85271.884647769053</v>
      </c>
      <c r="H43">
        <f t="shared" si="2"/>
        <v>191832.41754496944</v>
      </c>
    </row>
    <row r="44" spans="1:8" x14ac:dyDescent="0.2">
      <c r="A44">
        <v>293.00262451171898</v>
      </c>
      <c r="B44">
        <v>1319.41345214844</v>
      </c>
      <c r="C44">
        <v>3.5971913049640702E-4</v>
      </c>
      <c r="D44" s="1">
        <v>3.75005686061332E-7</v>
      </c>
      <c r="F44">
        <f t="shared" si="0"/>
        <v>3.5971913049640701E-7</v>
      </c>
      <c r="G44">
        <f t="shared" si="1"/>
        <v>104995.58644568307</v>
      </c>
      <c r="H44">
        <f t="shared" si="2"/>
        <v>222594.33952117656</v>
      </c>
    </row>
    <row r="45" spans="1:8" x14ac:dyDescent="0.2">
      <c r="A45">
        <v>292.99935913085898</v>
      </c>
      <c r="B45">
        <v>1624.8336791992199</v>
      </c>
      <c r="C45">
        <v>4.0762316429006302E-4</v>
      </c>
      <c r="D45" s="1">
        <v>3.07056647288506E-7</v>
      </c>
      <c r="F45">
        <f t="shared" si="0"/>
        <v>4.0762316429006303E-7</v>
      </c>
      <c r="G45">
        <f t="shared" si="1"/>
        <v>129300.15587337338</v>
      </c>
      <c r="H45">
        <f t="shared" si="2"/>
        <v>252237.37448566116</v>
      </c>
    </row>
    <row r="46" spans="1:8" x14ac:dyDescent="0.2">
      <c r="A46">
        <v>292.99671936035202</v>
      </c>
      <c r="B46">
        <v>2001.1837768554699</v>
      </c>
      <c r="C46">
        <v>4.5271810105266099E-4</v>
      </c>
      <c r="D46" s="1">
        <v>2.89922876258347E-7</v>
      </c>
      <c r="F46">
        <f t="shared" si="0"/>
        <v>4.5271810105266098E-7</v>
      </c>
      <c r="G46">
        <f t="shared" si="1"/>
        <v>159249.14506092825</v>
      </c>
      <c r="H46">
        <f t="shared" si="2"/>
        <v>280142.13910178706</v>
      </c>
    </row>
    <row r="47" spans="1:8" x14ac:dyDescent="0.2">
      <c r="A47">
        <v>292.99647521972702</v>
      </c>
      <c r="B47">
        <v>2464.3804931640602</v>
      </c>
      <c r="C47">
        <v>4.9412086325086404E-4</v>
      </c>
      <c r="D47" s="1">
        <v>3.2080559125579402E-7</v>
      </c>
      <c r="F47">
        <f t="shared" si="0"/>
        <v>4.9412086325086399E-7</v>
      </c>
      <c r="G47">
        <f t="shared" si="1"/>
        <v>196109.16857315149</v>
      </c>
      <c r="H47">
        <f t="shared" si="2"/>
        <v>305762.18464438402</v>
      </c>
    </row>
    <row r="48" spans="1:8" x14ac:dyDescent="0.2">
      <c r="A48">
        <v>292.99275207519503</v>
      </c>
      <c r="B48">
        <v>3035.19750976562</v>
      </c>
      <c r="C48">
        <v>5.3275399635932899E-4</v>
      </c>
      <c r="D48" s="1">
        <v>3.3546165944501999E-7</v>
      </c>
      <c r="F48">
        <f t="shared" si="0"/>
        <v>5.3275399635932894E-7</v>
      </c>
      <c r="G48">
        <f t="shared" si="1"/>
        <v>241533.34346970485</v>
      </c>
      <c r="H48">
        <f t="shared" si="2"/>
        <v>329668.38261624408</v>
      </c>
    </row>
    <row r="49" spans="1:8" x14ac:dyDescent="0.2">
      <c r="A49">
        <v>292.99101257324202</v>
      </c>
      <c r="B49">
        <v>3738.09619140625</v>
      </c>
      <c r="C49">
        <v>5.6730389894113096E-4</v>
      </c>
      <c r="D49" s="1">
        <v>2.7231991108852599E-7</v>
      </c>
      <c r="F49">
        <f t="shared" si="0"/>
        <v>5.6730389894113101E-7</v>
      </c>
      <c r="G49">
        <f t="shared" si="1"/>
        <v>297468.24330764619</v>
      </c>
      <c r="H49">
        <f t="shared" si="2"/>
        <v>351047.87593122094</v>
      </c>
    </row>
    <row r="50" spans="1:8" x14ac:dyDescent="0.2">
      <c r="A50">
        <v>292.99160766601602</v>
      </c>
      <c r="B50">
        <v>4603.41064453125</v>
      </c>
      <c r="C50">
        <v>5.9803856202913402E-4</v>
      </c>
      <c r="D50" s="1">
        <v>2.9171960840434698E-7</v>
      </c>
      <c r="F50">
        <f t="shared" si="0"/>
        <v>5.9803856202913407E-7</v>
      </c>
      <c r="G50">
        <f t="shared" si="1"/>
        <v>366327.77957949816</v>
      </c>
      <c r="H50">
        <f t="shared" si="2"/>
        <v>370066.49754592055</v>
      </c>
    </row>
    <row r="51" spans="1:8" x14ac:dyDescent="0.2">
      <c r="A51">
        <v>292.98884582519503</v>
      </c>
      <c r="B51">
        <v>5669.9753417968705</v>
      </c>
      <c r="C51">
        <v>6.2510519922771303E-4</v>
      </c>
      <c r="D51" s="1">
        <v>3.3979964871573702E-7</v>
      </c>
      <c r="F51">
        <f t="shared" si="0"/>
        <v>6.2510519922771302E-7</v>
      </c>
      <c r="G51">
        <f t="shared" si="1"/>
        <v>451202.30142806534</v>
      </c>
      <c r="H51">
        <f t="shared" si="2"/>
        <v>386815.3432966671</v>
      </c>
    </row>
    <row r="52" spans="1:8" x14ac:dyDescent="0.2">
      <c r="A52">
        <v>292.98620605468699</v>
      </c>
      <c r="B52">
        <v>6982.28857421875</v>
      </c>
      <c r="C52">
        <v>6.4794291776637699E-4</v>
      </c>
      <c r="D52" s="1">
        <v>3.2365072055503103E-7</v>
      </c>
      <c r="F52">
        <f t="shared" si="0"/>
        <v>6.47942917766377E-7</v>
      </c>
      <c r="G52">
        <f t="shared" si="1"/>
        <v>555632.87034048815</v>
      </c>
      <c r="H52">
        <f t="shared" si="2"/>
        <v>400947.33251633751</v>
      </c>
    </row>
    <row r="53" spans="1:8" x14ac:dyDescent="0.2">
      <c r="A53">
        <v>292.98442077636702</v>
      </c>
      <c r="B53">
        <v>8598.99560546875</v>
      </c>
      <c r="C53">
        <v>6.6652456797492701E-4</v>
      </c>
      <c r="D53" s="1">
        <v>3.0488274732641799E-7</v>
      </c>
      <c r="F53">
        <f t="shared" si="0"/>
        <v>6.6652456797492705E-7</v>
      </c>
      <c r="G53">
        <f t="shared" si="1"/>
        <v>684286.32811791857</v>
      </c>
      <c r="H53">
        <f t="shared" si="2"/>
        <v>412445.66497832775</v>
      </c>
    </row>
    <row r="54" spans="1:8" x14ac:dyDescent="0.2">
      <c r="A54">
        <v>292.98358154296898</v>
      </c>
      <c r="B54">
        <v>10589.919433593799</v>
      </c>
      <c r="C54">
        <v>6.8029407193138903E-4</v>
      </c>
      <c r="D54" s="1">
        <v>3.3711791218057598E-7</v>
      </c>
      <c r="F54">
        <f t="shared" si="0"/>
        <v>6.8029407193138902E-7</v>
      </c>
      <c r="G54">
        <f t="shared" si="1"/>
        <v>842719.01240068872</v>
      </c>
      <c r="H54">
        <f t="shared" si="2"/>
        <v>420966.23944567179</v>
      </c>
    </row>
    <row r="55" spans="1:8" x14ac:dyDescent="0.2">
      <c r="A55">
        <v>292.98411560058599</v>
      </c>
      <c r="B55">
        <v>13041.588378906201</v>
      </c>
      <c r="C55">
        <v>6.8879680966439899E-4</v>
      </c>
      <c r="D55" s="1">
        <v>4.39579762382922E-7</v>
      </c>
      <c r="F55">
        <f t="shared" si="0"/>
        <v>6.8879680966439903E-7</v>
      </c>
      <c r="G55">
        <f t="shared" si="1"/>
        <v>1037816.6281363701</v>
      </c>
      <c r="H55">
        <f t="shared" si="2"/>
        <v>426227.73690117075</v>
      </c>
    </row>
    <row r="56" spans="1:8" x14ac:dyDescent="0.2">
      <c r="A56">
        <v>292.98083496093699</v>
      </c>
      <c r="B56">
        <v>16061.005859375</v>
      </c>
      <c r="C56">
        <v>6.8851601118948198E-4</v>
      </c>
      <c r="D56" s="1">
        <v>5.6343385847661303E-7</v>
      </c>
      <c r="F56">
        <f t="shared" si="0"/>
        <v>6.8851601118948202E-7</v>
      </c>
      <c r="G56">
        <f t="shared" si="1"/>
        <v>1278094.2367737128</v>
      </c>
      <c r="H56">
        <f t="shared" si="2"/>
        <v>426053.97869438189</v>
      </c>
    </row>
    <row r="57" spans="1:8" x14ac:dyDescent="0.2">
      <c r="A57">
        <v>292.98034667968699</v>
      </c>
      <c r="B57">
        <v>19779.4638671875</v>
      </c>
      <c r="C57">
        <v>6.7989783244719803E-4</v>
      </c>
      <c r="D57" s="1">
        <v>4.9276559286715303E-7</v>
      </c>
      <c r="F57">
        <f t="shared" si="0"/>
        <v>6.7989783244719805E-7</v>
      </c>
      <c r="G57">
        <f t="shared" si="1"/>
        <v>1573999.7230852135</v>
      </c>
      <c r="H57">
        <f t="shared" si="2"/>
        <v>420721.04629691155</v>
      </c>
    </row>
    <row r="58" spans="1:8" x14ac:dyDescent="0.2">
      <c r="A58">
        <v>292.98039245605497</v>
      </c>
      <c r="B58">
        <v>24359.275390625</v>
      </c>
      <c r="C58">
        <v>6.59915348044002E-4</v>
      </c>
      <c r="D58" s="1">
        <v>5.8597268315919104E-7</v>
      </c>
      <c r="F58">
        <f t="shared" si="0"/>
        <v>6.5991534804400199E-7</v>
      </c>
      <c r="G58">
        <f t="shared" si="1"/>
        <v>1938449.5442773644</v>
      </c>
      <c r="H58">
        <f t="shared" si="2"/>
        <v>408355.87708396622</v>
      </c>
    </row>
    <row r="59" spans="1:8" x14ac:dyDescent="0.2">
      <c r="A59">
        <v>292.97894287109398</v>
      </c>
      <c r="B59">
        <v>29999.5498046875</v>
      </c>
      <c r="C59">
        <v>6.2663845105575297E-4</v>
      </c>
      <c r="D59" s="1">
        <v>7.7325045996605097E-7</v>
      </c>
      <c r="F59">
        <f t="shared" si="0"/>
        <v>6.2663845105575298E-7</v>
      </c>
      <c r="G59">
        <f t="shared" si="1"/>
        <v>2387288.3209737595</v>
      </c>
      <c r="H59">
        <f t="shared" si="2"/>
        <v>387764.12013128033</v>
      </c>
    </row>
    <row r="60" spans="1:8" x14ac:dyDescent="0.2">
      <c r="A60">
        <v>292.97738647460898</v>
      </c>
      <c r="B60">
        <v>24359.5849609375</v>
      </c>
      <c r="C60">
        <v>6.6086639447865696E-4</v>
      </c>
      <c r="D60" s="1">
        <v>7.6051335297055101E-7</v>
      </c>
      <c r="F60">
        <f t="shared" si="0"/>
        <v>6.60866394478657E-7</v>
      </c>
      <c r="G60">
        <f t="shared" si="1"/>
        <v>1938474.1791000988</v>
      </c>
      <c r="H60">
        <f t="shared" si="2"/>
        <v>408944.38499202178</v>
      </c>
    </row>
    <row r="61" spans="1:8" x14ac:dyDescent="0.2">
      <c r="A61">
        <v>292.97779846191401</v>
      </c>
      <c r="B61">
        <v>19779.580078125</v>
      </c>
      <c r="C61">
        <v>6.8127879947274203E-4</v>
      </c>
      <c r="D61" s="1">
        <v>7.7944541576823898E-7</v>
      </c>
      <c r="F61">
        <f t="shared" si="0"/>
        <v>6.8127879947274201E-7</v>
      </c>
      <c r="G61">
        <f t="shared" si="1"/>
        <v>1574008.9708577855</v>
      </c>
      <c r="H61">
        <f t="shared" si="2"/>
        <v>421575.58923580748</v>
      </c>
    </row>
    <row r="62" spans="1:8" x14ac:dyDescent="0.2">
      <c r="A62">
        <v>292.97740173339798</v>
      </c>
      <c r="B62">
        <v>16061.0146484375</v>
      </c>
      <c r="C62">
        <v>6.8982345893763496E-4</v>
      </c>
      <c r="D62" s="1">
        <v>5.3574599329439296E-7</v>
      </c>
      <c r="F62">
        <f t="shared" si="0"/>
        <v>6.89823458937635E-7</v>
      </c>
      <c r="G62">
        <f t="shared" si="1"/>
        <v>1278094.9361850838</v>
      </c>
      <c r="H62">
        <f t="shared" si="2"/>
        <v>426863.02787549421</v>
      </c>
    </row>
    <row r="63" spans="1:8" x14ac:dyDescent="0.2">
      <c r="A63">
        <v>292.97640991210898</v>
      </c>
      <c r="B63">
        <v>13041.098144531299</v>
      </c>
      <c r="C63">
        <v>6.8993806601947599E-4</v>
      </c>
      <c r="D63" s="1">
        <v>4.9218993562695297E-7</v>
      </c>
      <c r="F63">
        <f t="shared" si="0"/>
        <v>6.8993806601947601E-7</v>
      </c>
      <c r="G63">
        <f t="shared" si="1"/>
        <v>1037777.6165243504</v>
      </c>
      <c r="H63">
        <f t="shared" si="2"/>
        <v>426933.94678284187</v>
      </c>
    </row>
    <row r="64" spans="1:8" x14ac:dyDescent="0.2">
      <c r="A64">
        <v>292.97659301757801</v>
      </c>
      <c r="B64">
        <v>10589.818847656201</v>
      </c>
      <c r="C64">
        <v>6.8334902728627999E-4</v>
      </c>
      <c r="D64" s="1">
        <v>5.8061899389693501E-7</v>
      </c>
      <c r="F64">
        <f t="shared" si="0"/>
        <v>6.8334902728627994E-7</v>
      </c>
      <c r="G64">
        <f t="shared" si="1"/>
        <v>842711.00802610174</v>
      </c>
      <c r="H64">
        <f t="shared" si="2"/>
        <v>422856.64702157752</v>
      </c>
    </row>
    <row r="65" spans="1:8" x14ac:dyDescent="0.2">
      <c r="A65">
        <v>292.97560119628901</v>
      </c>
      <c r="B65">
        <v>8598.84130859375</v>
      </c>
      <c r="C65">
        <v>6.7009992743154298E-4</v>
      </c>
      <c r="D65" s="1">
        <v>3.4697865185865798E-7</v>
      </c>
      <c r="F65">
        <f t="shared" si="0"/>
        <v>6.7009992743154296E-7</v>
      </c>
      <c r="G65">
        <f t="shared" si="1"/>
        <v>684274.04956273863</v>
      </c>
      <c r="H65">
        <f t="shared" si="2"/>
        <v>414658.09881718957</v>
      </c>
    </row>
    <row r="66" spans="1:8" x14ac:dyDescent="0.2">
      <c r="A66">
        <v>292.97723388671898</v>
      </c>
      <c r="B66">
        <v>6981.943359375</v>
      </c>
      <c r="C66">
        <v>6.5311660569431602E-4</v>
      </c>
      <c r="D66" s="1">
        <v>4.0401780941258798E-7</v>
      </c>
      <c r="F66">
        <f t="shared" si="0"/>
        <v>6.5311660569431601E-7</v>
      </c>
      <c r="G66">
        <f t="shared" si="1"/>
        <v>555605.3990160824</v>
      </c>
      <c r="H66">
        <f t="shared" si="2"/>
        <v>404148.81264228758</v>
      </c>
    </row>
    <row r="67" spans="1:8" x14ac:dyDescent="0.2">
      <c r="A67">
        <v>292.97611999511702</v>
      </c>
      <c r="B67">
        <v>5669.5849609375</v>
      </c>
      <c r="C67">
        <v>6.3178675803653595E-4</v>
      </c>
      <c r="D67" s="1">
        <v>3.9404469627551699E-7</v>
      </c>
      <c r="F67">
        <f t="shared" si="0"/>
        <v>6.3178675803653599E-7</v>
      </c>
      <c r="G67">
        <f t="shared" si="1"/>
        <v>451171.23590633675</v>
      </c>
      <c r="H67">
        <f t="shared" si="2"/>
        <v>390949.89451714134</v>
      </c>
    </row>
    <row r="68" spans="1:8" x14ac:dyDescent="0.2">
      <c r="A68">
        <v>292.97622680664102</v>
      </c>
      <c r="B68">
        <v>4603.2292480468705</v>
      </c>
      <c r="C68">
        <v>6.0792182757177997E-4</v>
      </c>
      <c r="D68" s="1">
        <v>3.4205679859946498E-7</v>
      </c>
      <c r="F68">
        <f t="shared" si="0"/>
        <v>6.0792182757177997E-7</v>
      </c>
      <c r="G68">
        <f t="shared" si="1"/>
        <v>366313.34450592392</v>
      </c>
      <c r="H68">
        <f t="shared" si="2"/>
        <v>376182.26615333871</v>
      </c>
    </row>
    <row r="69" spans="1:8" x14ac:dyDescent="0.2">
      <c r="A69">
        <v>292.97673034667997</v>
      </c>
      <c r="B69">
        <v>3737.841796875</v>
      </c>
      <c r="C69">
        <v>5.7964971161170197E-4</v>
      </c>
      <c r="D69" s="1">
        <v>3.1884770378630699E-7</v>
      </c>
      <c r="F69">
        <f t="shared" si="0"/>
        <v>5.7964971161170193E-7</v>
      </c>
      <c r="G69">
        <f t="shared" si="1"/>
        <v>297447.9992340742</v>
      </c>
      <c r="H69">
        <f t="shared" si="2"/>
        <v>358687.46967055183</v>
      </c>
    </row>
    <row r="70" spans="1:8" x14ac:dyDescent="0.2">
      <c r="A70">
        <v>292.97598266601602</v>
      </c>
      <c r="B70">
        <v>3035.0523681640602</v>
      </c>
      <c r="C70">
        <v>5.5061083555566002E-4</v>
      </c>
      <c r="D70" s="1">
        <v>3.16815494501752E-7</v>
      </c>
      <c r="F70">
        <f t="shared" si="0"/>
        <v>5.5061083555566006E-7</v>
      </c>
      <c r="G70">
        <f t="shared" si="1"/>
        <v>241521.7934680366</v>
      </c>
      <c r="H70">
        <f t="shared" si="2"/>
        <v>340718.20173861872</v>
      </c>
    </row>
    <row r="71" spans="1:8" x14ac:dyDescent="0.2">
      <c r="A71">
        <v>292.97637939453102</v>
      </c>
      <c r="B71">
        <v>2464.4349365234398</v>
      </c>
      <c r="C71">
        <v>5.1997383766087997E-4</v>
      </c>
      <c r="D71" s="1">
        <v>3.2629622541315098E-7</v>
      </c>
      <c r="F71">
        <f t="shared" si="0"/>
        <v>5.1997383766087995E-7</v>
      </c>
      <c r="G71">
        <f t="shared" si="1"/>
        <v>196113.5010380334</v>
      </c>
      <c r="H71">
        <f t="shared" si="2"/>
        <v>321760.01538392226</v>
      </c>
    </row>
    <row r="72" spans="1:8" x14ac:dyDescent="0.2">
      <c r="A72">
        <v>292.97549438476602</v>
      </c>
      <c r="B72">
        <v>2000.90234375</v>
      </c>
      <c r="C72">
        <v>4.8770512470468701E-4</v>
      </c>
      <c r="D72" s="1">
        <v>2.7064355294243799E-7</v>
      </c>
      <c r="F72">
        <f t="shared" si="0"/>
        <v>4.8770512470468701E-7</v>
      </c>
      <c r="G72">
        <f t="shared" si="1"/>
        <v>159226.74932598564</v>
      </c>
      <c r="H72">
        <f t="shared" si="2"/>
        <v>301792.1231070506</v>
      </c>
    </row>
    <row r="73" spans="1:8" x14ac:dyDescent="0.2">
      <c r="A73">
        <v>292.97517395019503</v>
      </c>
      <c r="B73">
        <v>1624.59753417969</v>
      </c>
      <c r="C73">
        <v>4.5576158267179E-4</v>
      </c>
      <c r="D73" s="1">
        <v>4.1607222915997401E-7</v>
      </c>
      <c r="F73">
        <f t="shared" ref="F73:F136" si="3">C73/1000</f>
        <v>4.5576158267179E-7</v>
      </c>
      <c r="G73">
        <f t="shared" ref="G73:G136" si="4">(B73*1000)/(4*PI())</f>
        <v>129281.36404980104</v>
      </c>
      <c r="H73">
        <f t="shared" ref="H73:H136" si="5">F73/$G$4</f>
        <v>282025.44672548777</v>
      </c>
    </row>
    <row r="74" spans="1:8" x14ac:dyDescent="0.2">
      <c r="A74">
        <v>292.97610473632801</v>
      </c>
      <c r="B74">
        <v>1319.11389160156</v>
      </c>
      <c r="C74">
        <v>4.2432857438629701E-4</v>
      </c>
      <c r="D74" s="1">
        <v>3.49667416160163E-7</v>
      </c>
      <c r="F74">
        <f t="shared" si="3"/>
        <v>4.24328574386297E-7</v>
      </c>
      <c r="G74">
        <f t="shared" si="4"/>
        <v>104971.74817478744</v>
      </c>
      <c r="H74">
        <f t="shared" si="5"/>
        <v>262574.68882774265</v>
      </c>
    </row>
    <row r="75" spans="1:8" x14ac:dyDescent="0.2">
      <c r="A75">
        <v>292.97756958007801</v>
      </c>
      <c r="B75">
        <v>1071.3493041992199</v>
      </c>
      <c r="C75">
        <v>3.9358464565580702E-4</v>
      </c>
      <c r="D75" s="1">
        <v>4.3663202873445301E-7</v>
      </c>
      <c r="F75">
        <f t="shared" si="3"/>
        <v>3.9358464565580702E-7</v>
      </c>
      <c r="G75">
        <f t="shared" si="4"/>
        <v>85255.268770684255</v>
      </c>
      <c r="H75">
        <f t="shared" si="5"/>
        <v>243550.33362982556</v>
      </c>
    </row>
    <row r="76" spans="1:8" x14ac:dyDescent="0.2">
      <c r="A76">
        <v>292.97543334960898</v>
      </c>
      <c r="B76">
        <v>869.66378784179699</v>
      </c>
      <c r="C76">
        <v>3.6480767339323601E-4</v>
      </c>
      <c r="D76" s="1">
        <v>3.5813934609157301E-7</v>
      </c>
      <c r="F76">
        <f t="shared" si="3"/>
        <v>3.6480767339323602E-7</v>
      </c>
      <c r="G76">
        <f t="shared" si="4"/>
        <v>69205.645331521679</v>
      </c>
      <c r="H76">
        <f t="shared" si="5"/>
        <v>225743.1318683663</v>
      </c>
    </row>
    <row r="77" spans="1:8" x14ac:dyDescent="0.2">
      <c r="A77">
        <v>292.97549438476602</v>
      </c>
      <c r="B77">
        <v>705.98556518554699</v>
      </c>
      <c r="C77">
        <v>3.3978098027453502E-4</v>
      </c>
      <c r="D77" s="1">
        <v>3.19386979238515E-7</v>
      </c>
      <c r="F77">
        <f t="shared" si="3"/>
        <v>3.3978098027453502E-7</v>
      </c>
      <c r="G77">
        <f t="shared" si="4"/>
        <v>56180.54622540265</v>
      </c>
      <c r="H77">
        <f t="shared" si="5"/>
        <v>210256.60431708259</v>
      </c>
    </row>
    <row r="78" spans="1:8" x14ac:dyDescent="0.2">
      <c r="A78">
        <v>292.97610473632801</v>
      </c>
      <c r="B78">
        <v>573.21432495117199</v>
      </c>
      <c r="C78">
        <v>3.1316747790286598E-4</v>
      </c>
      <c r="D78" s="1">
        <v>3.3176449314773202E-7</v>
      </c>
      <c r="F78">
        <f t="shared" si="3"/>
        <v>3.1316747790286597E-7</v>
      </c>
      <c r="G78">
        <f t="shared" si="4"/>
        <v>45614.946633531494</v>
      </c>
      <c r="H78">
        <f t="shared" si="5"/>
        <v>193788.15857556229</v>
      </c>
    </row>
    <row r="79" spans="1:8" x14ac:dyDescent="0.2">
      <c r="A79">
        <v>292.97616577148398</v>
      </c>
      <c r="B79">
        <v>465.33941650390602</v>
      </c>
      <c r="C79">
        <v>2.9232522642280001E-4</v>
      </c>
      <c r="D79" s="1">
        <v>3.5478143876191501E-7</v>
      </c>
      <c r="F79">
        <f t="shared" si="3"/>
        <v>2.9232522642280001E-7</v>
      </c>
      <c r="G79">
        <f t="shared" si="4"/>
        <v>37030.534176047477</v>
      </c>
      <c r="H79">
        <f t="shared" si="5"/>
        <v>180890.96515708248</v>
      </c>
    </row>
    <row r="80" spans="1:8" x14ac:dyDescent="0.2">
      <c r="A80">
        <v>292.97731018066401</v>
      </c>
      <c r="B80">
        <v>377.78468322753901</v>
      </c>
      <c r="C80">
        <v>2.7434034980280302E-4</v>
      </c>
      <c r="D80" s="1">
        <v>3.4184868049594598E-7</v>
      </c>
      <c r="F80">
        <f t="shared" si="3"/>
        <v>2.7434034980280301E-7</v>
      </c>
      <c r="G80">
        <f t="shared" si="4"/>
        <v>30063.14988003434</v>
      </c>
      <c r="H80">
        <f t="shared" si="5"/>
        <v>169761.91642655333</v>
      </c>
    </row>
    <row r="81" spans="1:8" x14ac:dyDescent="0.2">
      <c r="A81">
        <v>292.97660827636702</v>
      </c>
      <c r="B81">
        <v>306.63681030273398</v>
      </c>
      <c r="C81">
        <v>2.5615244627393002E-4</v>
      </c>
      <c r="D81" s="1">
        <v>3.3052589295048702E-7</v>
      </c>
      <c r="F81">
        <f t="shared" si="3"/>
        <v>2.5615244627393004E-7</v>
      </c>
      <c r="G81">
        <f t="shared" si="4"/>
        <v>24401.382046805968</v>
      </c>
      <c r="H81">
        <f t="shared" si="5"/>
        <v>158507.23456490907</v>
      </c>
    </row>
    <row r="82" spans="1:8" x14ac:dyDescent="0.2">
      <c r="A82">
        <v>292.97683715820301</v>
      </c>
      <c r="B82">
        <v>248.78148651123001</v>
      </c>
      <c r="C82">
        <v>2.40012614228148E-4</v>
      </c>
      <c r="D82" s="1">
        <v>3.47085210989476E-7</v>
      </c>
      <c r="F82">
        <f t="shared" si="3"/>
        <v>2.40012614228148E-7</v>
      </c>
      <c r="G82">
        <f t="shared" si="4"/>
        <v>19797.401664005971</v>
      </c>
      <c r="H82">
        <f t="shared" si="5"/>
        <v>148519.90014303447</v>
      </c>
    </row>
    <row r="83" spans="1:8" x14ac:dyDescent="0.2">
      <c r="A83">
        <v>292.97743225097702</v>
      </c>
      <c r="B83">
        <v>202.17581176757801</v>
      </c>
      <c r="C83">
        <v>2.28682704839127E-4</v>
      </c>
      <c r="D83" s="1">
        <v>3.68606845870373E-7</v>
      </c>
      <c r="F83">
        <f t="shared" si="3"/>
        <v>2.28682704839127E-7</v>
      </c>
      <c r="G83">
        <f t="shared" si="4"/>
        <v>16088.639908213312</v>
      </c>
      <c r="H83">
        <f t="shared" si="5"/>
        <v>141508.94775414254</v>
      </c>
    </row>
    <row r="84" spans="1:8" x14ac:dyDescent="0.2">
      <c r="A84">
        <v>292.97653198242199</v>
      </c>
      <c r="B84">
        <v>163.905235290527</v>
      </c>
      <c r="C84">
        <v>2.1531033429549899E-4</v>
      </c>
      <c r="D84" s="1">
        <v>3.3725056295649301E-7</v>
      </c>
      <c r="F84">
        <f t="shared" si="3"/>
        <v>2.1531033429549899E-7</v>
      </c>
      <c r="G84">
        <f t="shared" si="4"/>
        <v>13043.16419756377</v>
      </c>
      <c r="H84">
        <f t="shared" si="5"/>
        <v>133234.11959895483</v>
      </c>
    </row>
    <row r="85" spans="1:8" x14ac:dyDescent="0.2">
      <c r="A85">
        <v>292.97689819335898</v>
      </c>
      <c r="B85">
        <v>133.33416748046901</v>
      </c>
      <c r="C85">
        <v>2.05593445983441E-4</v>
      </c>
      <c r="D85" s="1">
        <v>3.51862467831087E-7</v>
      </c>
      <c r="F85">
        <f t="shared" si="3"/>
        <v>2.0559344598344099E-7</v>
      </c>
      <c r="G85">
        <f t="shared" si="4"/>
        <v>10610.395918779644</v>
      </c>
      <c r="H85">
        <f t="shared" si="5"/>
        <v>127221.30528730343</v>
      </c>
    </row>
    <row r="86" spans="1:8" x14ac:dyDescent="0.2">
      <c r="A86">
        <v>292.97601318359398</v>
      </c>
      <c r="B86">
        <v>108.092830657959</v>
      </c>
      <c r="C86">
        <v>1.9744684038166499E-4</v>
      </c>
      <c r="D86" s="1">
        <v>2.4830081273966999E-7</v>
      </c>
      <c r="F86">
        <f t="shared" si="3"/>
        <v>1.9744684038166498E-7</v>
      </c>
      <c r="G86">
        <f t="shared" si="4"/>
        <v>8601.754156004672</v>
      </c>
      <c r="H86">
        <f t="shared" si="5"/>
        <v>122180.18253477037</v>
      </c>
    </row>
    <row r="87" spans="1:8" x14ac:dyDescent="0.2">
      <c r="A87">
        <v>292.97663879394503</v>
      </c>
      <c r="B87">
        <v>87.863445281982393</v>
      </c>
      <c r="C87">
        <v>1.8990550470048399E-4</v>
      </c>
      <c r="D87" s="1">
        <v>3.32392677332143E-7</v>
      </c>
      <c r="F87">
        <f t="shared" si="3"/>
        <v>1.89905504700484E-7</v>
      </c>
      <c r="G87">
        <f t="shared" si="4"/>
        <v>6991.9508168558841</v>
      </c>
      <c r="H87">
        <f t="shared" si="5"/>
        <v>117513.60104730976</v>
      </c>
    </row>
    <row r="88" spans="1:8" x14ac:dyDescent="0.2">
      <c r="A88">
        <v>292.97639465332003</v>
      </c>
      <c r="B88">
        <v>70.902721405029297</v>
      </c>
      <c r="C88">
        <v>1.8299177546546099E-4</v>
      </c>
      <c r="D88" s="1">
        <v>2.6376559345205798E-7</v>
      </c>
      <c r="F88">
        <f t="shared" si="3"/>
        <v>1.82991775465461E-7</v>
      </c>
      <c r="G88">
        <f t="shared" si="4"/>
        <v>5642.2592951389734</v>
      </c>
      <c r="H88">
        <f t="shared" si="5"/>
        <v>113235.38267573064</v>
      </c>
    </row>
    <row r="89" spans="1:8" x14ac:dyDescent="0.2">
      <c r="A89">
        <v>292.976318359375</v>
      </c>
      <c r="B89">
        <v>57.519369125366197</v>
      </c>
      <c r="C89">
        <v>1.7799262135099499E-4</v>
      </c>
      <c r="D89" s="1">
        <v>2.8618954464595901E-7</v>
      </c>
      <c r="F89">
        <f t="shared" si="3"/>
        <v>1.7799262135099499E-7</v>
      </c>
      <c r="G89">
        <f t="shared" si="4"/>
        <v>4577.2459599146896</v>
      </c>
      <c r="H89">
        <f t="shared" si="5"/>
        <v>110141.90414224673</v>
      </c>
    </row>
    <row r="90" spans="1:8" x14ac:dyDescent="0.2">
      <c r="A90">
        <v>292.97637939453102</v>
      </c>
      <c r="B90">
        <v>46.651069641113303</v>
      </c>
      <c r="C90">
        <v>1.7273489107305401E-4</v>
      </c>
      <c r="D90" s="1">
        <v>2.9809761617339499E-7</v>
      </c>
      <c r="F90">
        <f t="shared" si="3"/>
        <v>1.7273489107305402E-7</v>
      </c>
      <c r="G90">
        <f t="shared" si="4"/>
        <v>3712.3741669537171</v>
      </c>
      <c r="H90">
        <f t="shared" si="5"/>
        <v>106888.41857704004</v>
      </c>
    </row>
    <row r="91" spans="1:8" x14ac:dyDescent="0.2">
      <c r="A91">
        <v>292.97685241699202</v>
      </c>
      <c r="B91">
        <v>37.707647323608398</v>
      </c>
      <c r="C91">
        <v>1.6891340685975601E-4</v>
      </c>
      <c r="D91" s="1">
        <v>3.0251013554615503E-7</v>
      </c>
      <c r="F91">
        <f t="shared" si="3"/>
        <v>1.6891340685975601E-7</v>
      </c>
      <c r="G91">
        <f t="shared" si="4"/>
        <v>3000.6792319590772</v>
      </c>
      <c r="H91">
        <f t="shared" si="5"/>
        <v>104523.68264187918</v>
      </c>
    </row>
    <row r="92" spans="1:8" x14ac:dyDescent="0.2">
      <c r="A92">
        <v>292.97624206542997</v>
      </c>
      <c r="B92">
        <v>30.6164665222168</v>
      </c>
      <c r="C92">
        <v>1.65520313102955E-4</v>
      </c>
      <c r="D92" s="1">
        <v>3.07239225978923E-7</v>
      </c>
      <c r="F92">
        <f t="shared" si="3"/>
        <v>1.6552031310295499E-7</v>
      </c>
      <c r="G92">
        <f t="shared" si="4"/>
        <v>2436.3809935091667</v>
      </c>
      <c r="H92">
        <f t="shared" si="5"/>
        <v>102424.03488979473</v>
      </c>
    </row>
    <row r="93" spans="1:8" x14ac:dyDescent="0.2">
      <c r="A93">
        <v>292.976318359375</v>
      </c>
      <c r="B93">
        <v>24.696556091308601</v>
      </c>
      <c r="C93">
        <v>1.6308117978090599E-4</v>
      </c>
      <c r="D93" s="1">
        <v>3.0822015505736702E-7</v>
      </c>
      <c r="F93">
        <f t="shared" si="3"/>
        <v>1.6308117978090598E-7</v>
      </c>
      <c r="G93">
        <f t="shared" si="4"/>
        <v>1965.2894896390108</v>
      </c>
      <c r="H93">
        <f t="shared" si="5"/>
        <v>100914.69823017268</v>
      </c>
    </row>
    <row r="94" spans="1:8" x14ac:dyDescent="0.2">
      <c r="A94">
        <v>292.97706604003901</v>
      </c>
      <c r="B94">
        <v>19.984234809875499</v>
      </c>
      <c r="C94">
        <v>1.6061792384015501E-4</v>
      </c>
      <c r="D94" s="1">
        <v>3.0966944514394699E-7</v>
      </c>
      <c r="F94">
        <f t="shared" si="3"/>
        <v>1.6061792384015501E-7</v>
      </c>
      <c r="G94">
        <f t="shared" si="4"/>
        <v>1590.2948769504046</v>
      </c>
      <c r="H94">
        <f t="shared" si="5"/>
        <v>99390.434484604251</v>
      </c>
    </row>
    <row r="95" spans="1:8" x14ac:dyDescent="0.2">
      <c r="A95">
        <v>292.97616577148398</v>
      </c>
      <c r="B95">
        <v>15.9710450172424</v>
      </c>
      <c r="C95">
        <v>1.58462651462041E-4</v>
      </c>
      <c r="D95" s="1">
        <v>3.7536822090662998E-7</v>
      </c>
      <c r="F95">
        <f t="shared" si="3"/>
        <v>1.58462651462041E-7</v>
      </c>
      <c r="G95">
        <f t="shared" si="4"/>
        <v>1270.9353804186562</v>
      </c>
      <c r="H95">
        <f t="shared" si="5"/>
        <v>98056.751088804653</v>
      </c>
    </row>
    <row r="96" spans="1:8" x14ac:dyDescent="0.2">
      <c r="A96">
        <v>292.97563171386702</v>
      </c>
      <c r="B96">
        <v>12.9021348953247</v>
      </c>
      <c r="C96">
        <v>1.56341483730138E-4</v>
      </c>
      <c r="D96" s="1">
        <v>3.19795929458891E-7</v>
      </c>
      <c r="F96">
        <f t="shared" si="3"/>
        <v>1.56341483730138E-7</v>
      </c>
      <c r="G96">
        <f t="shared" si="4"/>
        <v>1026.7192725146799</v>
      </c>
      <c r="H96">
        <f t="shared" si="5"/>
        <v>96744.171661502565</v>
      </c>
    </row>
    <row r="97" spans="1:8" x14ac:dyDescent="0.2">
      <c r="A97">
        <v>292.97706604003901</v>
      </c>
      <c r="B97">
        <v>10.323523521423301</v>
      </c>
      <c r="C97">
        <v>1.5563577203716301E-4</v>
      </c>
      <c r="D97" s="1">
        <v>3.3717043306397998E-7</v>
      </c>
      <c r="F97">
        <f t="shared" si="3"/>
        <v>1.5563577203716301E-7</v>
      </c>
      <c r="G97">
        <f t="shared" si="4"/>
        <v>821.51989927998432</v>
      </c>
      <c r="H97">
        <f t="shared" si="5"/>
        <v>96307.47698815183</v>
      </c>
    </row>
    <row r="98" spans="1:8" x14ac:dyDescent="0.2">
      <c r="A98">
        <v>292.97500610351602</v>
      </c>
      <c r="B98">
        <v>8.3714060783386195</v>
      </c>
      <c r="C98">
        <v>1.5356562113760401E-4</v>
      </c>
      <c r="D98" s="1">
        <v>2.8308102911355598E-7</v>
      </c>
      <c r="F98">
        <f t="shared" si="3"/>
        <v>1.5356562113760401E-7</v>
      </c>
      <c r="G98">
        <f t="shared" si="4"/>
        <v>666.17532899856485</v>
      </c>
      <c r="H98">
        <f t="shared" si="5"/>
        <v>95026.466796782232</v>
      </c>
    </row>
    <row r="99" spans="1:8" x14ac:dyDescent="0.2">
      <c r="A99">
        <v>292.97601318359398</v>
      </c>
      <c r="B99">
        <v>7.0094637870788601</v>
      </c>
      <c r="C99">
        <v>1.5228404367967E-4</v>
      </c>
      <c r="D99" s="1">
        <v>3.13114643928476E-7</v>
      </c>
      <c r="F99">
        <f t="shared" si="3"/>
        <v>1.5228404367967E-7</v>
      </c>
      <c r="G99">
        <f t="shared" si="4"/>
        <v>557.79540506861861</v>
      </c>
      <c r="H99">
        <f t="shared" si="5"/>
        <v>94233.426161438823</v>
      </c>
    </row>
    <row r="100" spans="1:8" x14ac:dyDescent="0.2">
      <c r="A100">
        <v>292.97792053222702</v>
      </c>
      <c r="B100">
        <v>6.3012537956237802</v>
      </c>
      <c r="C100">
        <v>1.5214813604529399E-4</v>
      </c>
      <c r="D100" s="1">
        <v>3.0795925771309699E-7</v>
      </c>
      <c r="F100">
        <f t="shared" si="3"/>
        <v>1.5214813604529399E-7</v>
      </c>
      <c r="G100">
        <f t="shared" si="4"/>
        <v>501.43784462504613</v>
      </c>
      <c r="H100">
        <f t="shared" si="5"/>
        <v>94149.326463799545</v>
      </c>
    </row>
    <row r="101" spans="1:8" x14ac:dyDescent="0.2">
      <c r="A101">
        <v>292.97715759277298</v>
      </c>
      <c r="B101">
        <v>4.0858273506164604</v>
      </c>
      <c r="C101">
        <v>1.5052704142372799E-4</v>
      </c>
      <c r="D101" s="1">
        <v>2.8665030298698997E-7</v>
      </c>
      <c r="F101">
        <f t="shared" si="3"/>
        <v>1.5052704142372799E-7</v>
      </c>
      <c r="G101">
        <f t="shared" si="4"/>
        <v>325.13980973533614</v>
      </c>
      <c r="H101">
        <f t="shared" si="5"/>
        <v>93146.192473981282</v>
      </c>
    </row>
    <row r="102" spans="1:8" x14ac:dyDescent="0.2">
      <c r="A102">
        <v>292.97805786132801</v>
      </c>
      <c r="B102">
        <v>4.1493844985961896</v>
      </c>
      <c r="C102">
        <v>1.5020784145243699E-4</v>
      </c>
      <c r="D102" s="1">
        <v>2.7910077966187501E-7</v>
      </c>
      <c r="F102">
        <f t="shared" si="3"/>
        <v>1.5020784145243698E-7</v>
      </c>
      <c r="G102">
        <f t="shared" si="4"/>
        <v>330.19752687023464</v>
      </c>
      <c r="H102">
        <f t="shared" si="5"/>
        <v>92948.671406123016</v>
      </c>
    </row>
    <row r="103" spans="1:8" x14ac:dyDescent="0.2">
      <c r="A103">
        <v>292.97599792480497</v>
      </c>
      <c r="B103">
        <v>3.61368715763092</v>
      </c>
      <c r="C103">
        <v>1.4968909373347801E-4</v>
      </c>
      <c r="D103" s="1">
        <v>3.0438821013895401E-7</v>
      </c>
      <c r="F103">
        <f t="shared" si="3"/>
        <v>1.4968909373347799E-7</v>
      </c>
      <c r="G103">
        <f t="shared" si="4"/>
        <v>287.56808696233105</v>
      </c>
      <c r="H103">
        <f t="shared" si="5"/>
        <v>92627.670113474363</v>
      </c>
    </row>
    <row r="104" spans="1:8" x14ac:dyDescent="0.2">
      <c r="A104">
        <v>292.97589111328102</v>
      </c>
      <c r="B104">
        <v>3.21418404579163</v>
      </c>
      <c r="C104">
        <v>1.4942437555565401E-4</v>
      </c>
      <c r="D104" s="1">
        <v>3.20816556362271E-7</v>
      </c>
      <c r="F104">
        <f t="shared" si="3"/>
        <v>1.4942437555565402E-7</v>
      </c>
      <c r="G104">
        <f t="shared" si="4"/>
        <v>255.77663944742241</v>
      </c>
      <c r="H104">
        <f t="shared" si="5"/>
        <v>92463.862400855185</v>
      </c>
    </row>
    <row r="105" spans="1:8" x14ac:dyDescent="0.2">
      <c r="A105">
        <v>292.97555541992199</v>
      </c>
      <c r="B105">
        <v>2.7965219020843501</v>
      </c>
      <c r="C105">
        <v>1.4881858413905101E-4</v>
      </c>
      <c r="D105" s="1">
        <v>2.4294318261790998E-7</v>
      </c>
      <c r="F105">
        <f t="shared" si="3"/>
        <v>1.4881858413905102E-7</v>
      </c>
      <c r="G105">
        <f t="shared" si="4"/>
        <v>222.54014209073682</v>
      </c>
      <c r="H105">
        <f t="shared" si="5"/>
        <v>92088.998433847766</v>
      </c>
    </row>
    <row r="106" spans="1:8" x14ac:dyDescent="0.2">
      <c r="A106">
        <v>292.97541809082003</v>
      </c>
      <c r="B106">
        <v>2.5332129001617401</v>
      </c>
      <c r="C106">
        <v>1.4878963874445701E-4</v>
      </c>
      <c r="D106" s="1">
        <v>2.4906504999992502E-7</v>
      </c>
      <c r="F106">
        <f t="shared" si="3"/>
        <v>1.48789638744457E-7</v>
      </c>
      <c r="G106">
        <f t="shared" si="4"/>
        <v>201.58667748244844</v>
      </c>
      <c r="H106">
        <f t="shared" si="5"/>
        <v>92071.087012281321</v>
      </c>
    </row>
    <row r="107" spans="1:8" x14ac:dyDescent="0.2">
      <c r="A107">
        <v>292.97550964355497</v>
      </c>
      <c r="B107">
        <v>1.7251271009445199</v>
      </c>
      <c r="C107">
        <v>1.48132385689834E-4</v>
      </c>
      <c r="D107" s="1">
        <v>3.2623958904945199E-7</v>
      </c>
      <c r="F107">
        <f t="shared" si="3"/>
        <v>1.4813238568983399E-7</v>
      </c>
      <c r="G107">
        <f t="shared" si="4"/>
        <v>137.28125278855572</v>
      </c>
      <c r="H107">
        <f t="shared" si="5"/>
        <v>91664.378563414037</v>
      </c>
    </row>
    <row r="108" spans="1:8" x14ac:dyDescent="0.2">
      <c r="A108">
        <v>292.97630310058599</v>
      </c>
      <c r="B108">
        <v>1.6161716580390899</v>
      </c>
      <c r="C108">
        <v>1.4775298219808401E-4</v>
      </c>
      <c r="D108" s="1">
        <v>3.1267908056220098E-7</v>
      </c>
      <c r="F108">
        <f t="shared" si="3"/>
        <v>1.47752982198084E-7</v>
      </c>
      <c r="G108">
        <f t="shared" si="4"/>
        <v>128.61085413097274</v>
      </c>
      <c r="H108">
        <f t="shared" si="5"/>
        <v>91429.603533402216</v>
      </c>
    </row>
    <row r="109" spans="1:8" x14ac:dyDescent="0.2">
      <c r="A109">
        <v>292.97637939453102</v>
      </c>
      <c r="B109">
        <v>-1.67064940929413</v>
      </c>
      <c r="C109">
        <v>1.4704134022928899E-4</v>
      </c>
      <c r="D109" s="1">
        <v>3.4774187364572099E-7</v>
      </c>
      <c r="F109">
        <f t="shared" si="3"/>
        <v>1.4704134022928898E-7</v>
      </c>
      <c r="G109">
        <f t="shared" si="4"/>
        <v>-132.94605583135791</v>
      </c>
      <c r="H109">
        <f t="shared" si="5"/>
        <v>90989.239203040139</v>
      </c>
    </row>
    <row r="110" spans="1:8" x14ac:dyDescent="0.2">
      <c r="A110">
        <v>292.97663879394503</v>
      </c>
      <c r="B110">
        <v>-1.63433092832565</v>
      </c>
      <c r="C110">
        <v>1.4684521846545701E-4</v>
      </c>
      <c r="D110" s="1">
        <v>2.8707805443382601E-7</v>
      </c>
      <c r="F110">
        <f t="shared" si="3"/>
        <v>1.46845218465457E-7</v>
      </c>
      <c r="G110">
        <f t="shared" si="4"/>
        <v>-130.05592294549663</v>
      </c>
      <c r="H110">
        <f t="shared" si="5"/>
        <v>90867.87897839582</v>
      </c>
    </row>
    <row r="111" spans="1:8" x14ac:dyDescent="0.2">
      <c r="A111">
        <v>292.97634887695301</v>
      </c>
      <c r="B111">
        <v>-1.63433092832565</v>
      </c>
      <c r="C111">
        <v>1.4615005046795799E-4</v>
      </c>
      <c r="D111" s="1">
        <v>3.7658035875635699E-7</v>
      </c>
      <c r="F111">
        <f t="shared" si="3"/>
        <v>1.4615005046795798E-7</v>
      </c>
      <c r="G111">
        <f t="shared" si="4"/>
        <v>-130.05592294549663</v>
      </c>
      <c r="H111">
        <f t="shared" si="5"/>
        <v>90437.708747955156</v>
      </c>
    </row>
    <row r="112" spans="1:8" x14ac:dyDescent="0.2">
      <c r="A112">
        <v>292.97671508789102</v>
      </c>
      <c r="B112">
        <v>-1.67064940929413</v>
      </c>
      <c r="C112">
        <v>1.4628020625373901E-4</v>
      </c>
      <c r="D112" s="1">
        <v>2.9923928479813201E-7</v>
      </c>
      <c r="F112">
        <f t="shared" si="3"/>
        <v>1.4628020625373901E-7</v>
      </c>
      <c r="G112">
        <f t="shared" si="4"/>
        <v>-132.94605583135791</v>
      </c>
      <c r="H112">
        <f t="shared" si="5"/>
        <v>90518.249199420185</v>
      </c>
    </row>
    <row r="113" spans="1:8" x14ac:dyDescent="0.2">
      <c r="A113">
        <v>292.97673034667997</v>
      </c>
      <c r="B113">
        <v>-2.1700283288955702</v>
      </c>
      <c r="C113">
        <v>1.4586114885092099E-4</v>
      </c>
      <c r="D113" s="1">
        <v>2.79921089620775E-7</v>
      </c>
      <c r="F113">
        <f t="shared" si="3"/>
        <v>1.4586114885092098E-7</v>
      </c>
      <c r="G113">
        <f t="shared" si="4"/>
        <v>-172.68536759658761</v>
      </c>
      <c r="H113">
        <f t="shared" si="5"/>
        <v>90258.936313633385</v>
      </c>
    </row>
    <row r="114" spans="1:8" x14ac:dyDescent="0.2">
      <c r="A114">
        <v>292.97715759277298</v>
      </c>
      <c r="B114">
        <v>-2.5332129001617401</v>
      </c>
      <c r="C114">
        <v>1.4516770707245199E-4</v>
      </c>
      <c r="D114" s="1">
        <v>3.0048565902629999E-7</v>
      </c>
      <c r="F114">
        <f t="shared" si="3"/>
        <v>1.4516770707245198E-7</v>
      </c>
      <c r="G114">
        <f t="shared" si="4"/>
        <v>-201.58667748244844</v>
      </c>
      <c r="H114">
        <f t="shared" si="5"/>
        <v>89829.83426820788</v>
      </c>
    </row>
    <row r="115" spans="1:8" x14ac:dyDescent="0.2">
      <c r="A115">
        <v>292.97711181640602</v>
      </c>
      <c r="B115">
        <v>-4.4762506484985396</v>
      </c>
      <c r="C115">
        <v>1.4454772989447E-4</v>
      </c>
      <c r="D115" s="1">
        <v>3.1721295872028702E-7</v>
      </c>
      <c r="F115">
        <f t="shared" si="3"/>
        <v>1.4454772989447E-7</v>
      </c>
      <c r="G115">
        <f t="shared" si="4"/>
        <v>-356.20870861342235</v>
      </c>
      <c r="H115">
        <f t="shared" si="5"/>
        <v>89446.192146476227</v>
      </c>
    </row>
    <row r="116" spans="1:8" x14ac:dyDescent="0.2">
      <c r="A116">
        <v>292.97766113281199</v>
      </c>
      <c r="B116">
        <v>-4.2946584224700901</v>
      </c>
      <c r="C116">
        <v>1.44306084774501E-4</v>
      </c>
      <c r="D116" s="1">
        <v>2.9116354613350702E-7</v>
      </c>
      <c r="F116">
        <f t="shared" si="3"/>
        <v>1.44306084774501E-7</v>
      </c>
      <c r="G116">
        <f t="shared" si="4"/>
        <v>-341.7580584136781</v>
      </c>
      <c r="H116">
        <f t="shared" si="5"/>
        <v>89296.662051138279</v>
      </c>
    </row>
    <row r="117" spans="1:8" x14ac:dyDescent="0.2">
      <c r="A117">
        <v>292.97610473632801</v>
      </c>
      <c r="B117">
        <v>-6.3375720977783203</v>
      </c>
      <c r="C117">
        <v>1.4371461575148401E-4</v>
      </c>
      <c r="D117" s="1">
        <v>2.9268316274793801E-7</v>
      </c>
      <c r="F117">
        <f t="shared" si="3"/>
        <v>1.43714615751484E-7</v>
      </c>
      <c r="G117">
        <f t="shared" si="4"/>
        <v>-504.32796328134617</v>
      </c>
      <c r="H117">
        <f t="shared" si="5"/>
        <v>88930.660786918554</v>
      </c>
    </row>
    <row r="118" spans="1:8" x14ac:dyDescent="0.2">
      <c r="A118">
        <v>292.97622680664102</v>
      </c>
      <c r="B118">
        <v>-6.84603047370911</v>
      </c>
      <c r="C118">
        <v>1.4335994938137901E-4</v>
      </c>
      <c r="D118" s="1">
        <v>2.94886467799119E-7</v>
      </c>
      <c r="F118">
        <f t="shared" si="3"/>
        <v>1.43359949381379E-7</v>
      </c>
      <c r="G118">
        <f t="shared" si="4"/>
        <v>-544.78979522427733</v>
      </c>
      <c r="H118">
        <f t="shared" si="5"/>
        <v>88711.193097516123</v>
      </c>
    </row>
    <row r="119" spans="1:8" x14ac:dyDescent="0.2">
      <c r="A119">
        <v>292.97705078125</v>
      </c>
      <c r="B119">
        <v>-9.4972782135009801</v>
      </c>
      <c r="C119">
        <v>1.4253263769327799E-4</v>
      </c>
      <c r="D119" s="1">
        <v>3.3434553670519001E-7</v>
      </c>
      <c r="F119">
        <f t="shared" si="3"/>
        <v>1.4253263769327799E-7</v>
      </c>
      <c r="G119">
        <f t="shared" si="4"/>
        <v>-755.76938679882301</v>
      </c>
      <c r="H119">
        <f t="shared" si="5"/>
        <v>88199.252299324871</v>
      </c>
    </row>
    <row r="120" spans="1:8" x14ac:dyDescent="0.2">
      <c r="A120">
        <v>292.97686767578102</v>
      </c>
      <c r="B120">
        <v>-11.403998374939</v>
      </c>
      <c r="C120">
        <v>1.4221090788180501E-4</v>
      </c>
      <c r="D120" s="1">
        <v>2.6649780962312E-7</v>
      </c>
      <c r="F120">
        <f t="shared" si="3"/>
        <v>1.4221090788180501E-7</v>
      </c>
      <c r="G120">
        <f t="shared" si="4"/>
        <v>-907.50135619174182</v>
      </c>
      <c r="H120">
        <f t="shared" si="5"/>
        <v>88000.165765366357</v>
      </c>
    </row>
    <row r="121" spans="1:8" x14ac:dyDescent="0.2">
      <c r="A121">
        <v>292.97642517089798</v>
      </c>
      <c r="B121">
        <v>-14.1006436347961</v>
      </c>
      <c r="C121">
        <v>1.40996147491923E-4</v>
      </c>
      <c r="D121" s="1">
        <v>3.29770736536959E-7</v>
      </c>
      <c r="F121">
        <f t="shared" si="3"/>
        <v>1.4099614749192299E-7</v>
      </c>
      <c r="G121">
        <f t="shared" si="4"/>
        <v>-1122.0935676275349</v>
      </c>
      <c r="H121">
        <f t="shared" si="5"/>
        <v>87248.471558029851</v>
      </c>
    </row>
    <row r="122" spans="1:8" x14ac:dyDescent="0.2">
      <c r="A122">
        <v>292.97613525390602</v>
      </c>
      <c r="B122">
        <v>-17.1423149108887</v>
      </c>
      <c r="C122">
        <v>1.4013666515537499E-4</v>
      </c>
      <c r="D122" s="1">
        <v>2.7708395182546699E-7</v>
      </c>
      <c r="F122">
        <f t="shared" si="3"/>
        <v>1.4013666515537499E-7</v>
      </c>
      <c r="G122">
        <f t="shared" si="4"/>
        <v>-1364.1420770529201</v>
      </c>
      <c r="H122">
        <f t="shared" si="5"/>
        <v>86716.623549918615</v>
      </c>
    </row>
    <row r="123" spans="1:8" x14ac:dyDescent="0.2">
      <c r="A123">
        <v>292.97610473632801</v>
      </c>
      <c r="B123">
        <v>-20.8740377426147</v>
      </c>
      <c r="C123">
        <v>1.3908925035453E-4</v>
      </c>
      <c r="D123" s="1">
        <v>3.2934085167373898E-7</v>
      </c>
      <c r="F123">
        <f t="shared" si="3"/>
        <v>1.3908925035453E-7</v>
      </c>
      <c r="G123">
        <f t="shared" si="4"/>
        <v>-1661.103144511959</v>
      </c>
      <c r="H123">
        <f t="shared" si="5"/>
        <v>86068.482858938252</v>
      </c>
    </row>
    <row r="124" spans="1:8" x14ac:dyDescent="0.2">
      <c r="A124">
        <v>292.97567749023398</v>
      </c>
      <c r="B124">
        <v>-25.6589965820313</v>
      </c>
      <c r="C124">
        <v>1.3809980005160299E-4</v>
      </c>
      <c r="D124" s="1">
        <v>3.3590568225445299E-7</v>
      </c>
      <c r="F124">
        <f t="shared" si="3"/>
        <v>1.3809980005160298E-7</v>
      </c>
      <c r="G124">
        <f t="shared" si="4"/>
        <v>-2041.8780704041644</v>
      </c>
      <c r="H124">
        <f t="shared" si="5"/>
        <v>85456.210622081868</v>
      </c>
    </row>
    <row r="125" spans="1:8" x14ac:dyDescent="0.2">
      <c r="A125">
        <v>292.97634887695301</v>
      </c>
      <c r="B125">
        <v>-31.5153484344482</v>
      </c>
      <c r="C125">
        <v>1.3618614270546501E-4</v>
      </c>
      <c r="D125" s="1">
        <v>3.45537328447354E-7</v>
      </c>
      <c r="F125">
        <f t="shared" si="3"/>
        <v>1.3618614270546501E-7</v>
      </c>
      <c r="G125">
        <f t="shared" si="4"/>
        <v>-2507.9117433029278</v>
      </c>
      <c r="H125">
        <f t="shared" si="5"/>
        <v>84272.038703158352</v>
      </c>
    </row>
    <row r="126" spans="1:8" x14ac:dyDescent="0.2">
      <c r="A126">
        <v>292.97520446777298</v>
      </c>
      <c r="B126">
        <v>-38.869834899902301</v>
      </c>
      <c r="C126">
        <v>1.3446441325132299E-4</v>
      </c>
      <c r="D126" s="1">
        <v>3.7817030093592099E-7</v>
      </c>
      <c r="F126">
        <f t="shared" si="3"/>
        <v>1.3446441325132298E-7</v>
      </c>
      <c r="G126">
        <f t="shared" si="4"/>
        <v>-3093.1631807426588</v>
      </c>
      <c r="H126">
        <f t="shared" si="5"/>
        <v>83206.631839336507</v>
      </c>
    </row>
    <row r="127" spans="1:8" x14ac:dyDescent="0.2">
      <c r="A127">
        <v>292.97721862792997</v>
      </c>
      <c r="B127">
        <v>-47.677064895629897</v>
      </c>
      <c r="C127">
        <v>1.3214824388407001E-4</v>
      </c>
      <c r="D127" s="1">
        <v>3.2889482179891501E-7</v>
      </c>
      <c r="F127">
        <f t="shared" si="3"/>
        <v>1.3214824388407E-7</v>
      </c>
      <c r="G127">
        <f t="shared" si="4"/>
        <v>-3794.0202751262887</v>
      </c>
      <c r="H127">
        <f t="shared" si="5"/>
        <v>81773.385323335577</v>
      </c>
    </row>
    <row r="128" spans="1:8" x14ac:dyDescent="0.2">
      <c r="A128">
        <v>292.97691345214798</v>
      </c>
      <c r="B128">
        <v>-58.418251037597699</v>
      </c>
      <c r="C128">
        <v>1.2910049883656799E-4</v>
      </c>
      <c r="D128" s="1">
        <v>3.3803343261934898E-7</v>
      </c>
      <c r="F128">
        <f t="shared" si="3"/>
        <v>1.2910049883656801E-7</v>
      </c>
      <c r="G128">
        <f t="shared" si="4"/>
        <v>-4648.7767097084588</v>
      </c>
      <c r="H128">
        <f t="shared" si="5"/>
        <v>79887.439488479795</v>
      </c>
    </row>
    <row r="129" spans="1:8" x14ac:dyDescent="0.2">
      <c r="A129">
        <v>292.97746276855497</v>
      </c>
      <c r="B129">
        <v>-71.783447265625</v>
      </c>
      <c r="C129">
        <v>1.2627443944278799E-4</v>
      </c>
      <c r="D129" s="1">
        <v>3.0653132190048597E-7</v>
      </c>
      <c r="F129">
        <f t="shared" si="3"/>
        <v>1.26274439442788E-7</v>
      </c>
      <c r="G129">
        <f t="shared" si="4"/>
        <v>-5712.345232250309</v>
      </c>
      <c r="H129">
        <f t="shared" si="5"/>
        <v>78138.672823393121</v>
      </c>
    </row>
    <row r="130" spans="1:8" x14ac:dyDescent="0.2">
      <c r="A130">
        <v>292.97801208496099</v>
      </c>
      <c r="B130">
        <v>-88.435462951660199</v>
      </c>
      <c r="C130">
        <v>1.21390578306499E-4</v>
      </c>
      <c r="D130" s="1">
        <v>3.1687292743619701E-7</v>
      </c>
      <c r="F130">
        <f t="shared" si="3"/>
        <v>1.2139057830649901E-7</v>
      </c>
      <c r="G130">
        <f t="shared" si="4"/>
        <v>-7037.4705366884491</v>
      </c>
      <c r="H130">
        <f t="shared" si="5"/>
        <v>75116.537630179519</v>
      </c>
    </row>
    <row r="131" spans="1:8" x14ac:dyDescent="0.2">
      <c r="A131">
        <v>292.97792053222702</v>
      </c>
      <c r="B131">
        <v>-108.92815399169901</v>
      </c>
      <c r="C131">
        <v>1.15658657122761E-4</v>
      </c>
      <c r="D131" s="1">
        <v>2.7013306029835998E-7</v>
      </c>
      <c r="F131">
        <f t="shared" si="3"/>
        <v>1.15658657122761E-7</v>
      </c>
      <c r="G131">
        <f t="shared" si="4"/>
        <v>-8668.227074827033</v>
      </c>
      <c r="H131">
        <f t="shared" si="5"/>
        <v>71569.622545844439</v>
      </c>
    </row>
    <row r="132" spans="1:8" x14ac:dyDescent="0.2">
      <c r="A132">
        <v>292.97698974609398</v>
      </c>
      <c r="B132">
        <v>-133.93341827392601</v>
      </c>
      <c r="C132">
        <v>1.08425249551571E-4</v>
      </c>
      <c r="D132" s="1">
        <v>3.0083466630958002E-7</v>
      </c>
      <c r="F132">
        <f t="shared" si="3"/>
        <v>1.0842524955157099E-7</v>
      </c>
      <c r="G132">
        <f t="shared" si="4"/>
        <v>-10658.082781744855</v>
      </c>
      <c r="H132">
        <f t="shared" si="5"/>
        <v>67093.587094033515</v>
      </c>
    </row>
    <row r="133" spans="1:8" x14ac:dyDescent="0.2">
      <c r="A133">
        <v>292.97677612304699</v>
      </c>
      <c r="B133">
        <v>-164.67699432373001</v>
      </c>
      <c r="C133" s="1">
        <v>9.9687394309449305E-5</v>
      </c>
      <c r="D133" s="1">
        <v>3.5084459975506702E-7</v>
      </c>
      <c r="F133">
        <f t="shared" si="3"/>
        <v>9.968739430944931E-8</v>
      </c>
      <c r="G133">
        <f t="shared" si="4"/>
        <v>-13104.578830068811</v>
      </c>
      <c r="H133">
        <f t="shared" si="5"/>
        <v>61686.598831364085</v>
      </c>
    </row>
    <row r="134" spans="1:8" x14ac:dyDescent="0.2">
      <c r="A134">
        <v>292.97665405273398</v>
      </c>
      <c r="B134">
        <v>-203.00205993652301</v>
      </c>
      <c r="C134" s="1">
        <v>8.8064043495696495E-5</v>
      </c>
      <c r="D134" s="1">
        <v>3.41724633006344E-7</v>
      </c>
      <c r="F134">
        <f t="shared" si="3"/>
        <v>8.806404349569649E-8</v>
      </c>
      <c r="G134">
        <f t="shared" si="4"/>
        <v>-16154.390648367424</v>
      </c>
      <c r="H134">
        <f t="shared" si="5"/>
        <v>54494.064773362181</v>
      </c>
    </row>
    <row r="135" spans="1:8" x14ac:dyDescent="0.2">
      <c r="A135">
        <v>292.97554016113298</v>
      </c>
      <c r="B135">
        <v>-249.916427612305</v>
      </c>
      <c r="C135" s="1">
        <v>7.1319088686120594E-5</v>
      </c>
      <c r="D135" s="1">
        <v>2.9936809612870702E-7</v>
      </c>
      <c r="F135">
        <f t="shared" si="3"/>
        <v>7.1319088686120596E-8</v>
      </c>
      <c r="G135">
        <f t="shared" si="4"/>
        <v>-19887.717407183092</v>
      </c>
      <c r="H135">
        <f t="shared" si="5"/>
        <v>44132.280147101592</v>
      </c>
    </row>
    <row r="136" spans="1:8" x14ac:dyDescent="0.2">
      <c r="A136">
        <v>292.97512817382801</v>
      </c>
      <c r="B136">
        <v>-307.67185974121099</v>
      </c>
      <c r="C136" s="1">
        <v>4.70722871151302E-5</v>
      </c>
      <c r="D136" s="1">
        <v>3.51255182934404E-7</v>
      </c>
      <c r="F136">
        <f t="shared" si="3"/>
        <v>4.7072287115130202E-8</v>
      </c>
      <c r="G136">
        <f t="shared" si="4"/>
        <v>-24483.748664045022</v>
      </c>
      <c r="H136">
        <f t="shared" si="5"/>
        <v>29128.349792473036</v>
      </c>
    </row>
    <row r="137" spans="1:8" x14ac:dyDescent="0.2">
      <c r="A137">
        <v>292.97734069824202</v>
      </c>
      <c r="B137">
        <v>-378.51103210449202</v>
      </c>
      <c r="C137" s="1">
        <v>1.8555755070534801E-5</v>
      </c>
      <c r="D137" s="1">
        <v>3.2285927805956198E-7</v>
      </c>
      <c r="F137">
        <f t="shared" ref="F137:F200" si="6">C137/1000</f>
        <v>1.8555755070534801E-8</v>
      </c>
      <c r="G137">
        <f t="shared" ref="G137:G200" si="7">(B137*1000)/(4*PI())</f>
        <v>-30120.950887122497</v>
      </c>
      <c r="H137">
        <f t="shared" ref="H137:H200" si="8">F137/$G$4</f>
        <v>11482.308540395166</v>
      </c>
    </row>
    <row r="138" spans="1:8" x14ac:dyDescent="0.2">
      <c r="A138">
        <v>292.97648620605497</v>
      </c>
      <c r="B138">
        <v>-466.093017578125</v>
      </c>
      <c r="C138" s="1">
        <v>-2.0323097953231899E-5</v>
      </c>
      <c r="D138" s="1">
        <v>4.6222387647905801E-7</v>
      </c>
      <c r="F138">
        <f t="shared" si="6"/>
        <v>-2.0323097953231901E-8</v>
      </c>
      <c r="G138">
        <f t="shared" si="7"/>
        <v>-37090.503844088133</v>
      </c>
      <c r="H138">
        <f t="shared" si="8"/>
        <v>-12575.941011758383</v>
      </c>
    </row>
    <row r="139" spans="1:8" x14ac:dyDescent="0.2">
      <c r="A139">
        <v>292.97709655761702</v>
      </c>
      <c r="B139">
        <v>-573.76818847656205</v>
      </c>
      <c r="C139" s="1">
        <v>-7.3708155093471899E-5</v>
      </c>
      <c r="D139" s="1">
        <v>3.6299549441712298E-7</v>
      </c>
      <c r="F139">
        <f t="shared" si="6"/>
        <v>-7.3708155093471893E-8</v>
      </c>
      <c r="G139">
        <f t="shared" si="7"/>
        <v>-45659.021692463553</v>
      </c>
      <c r="H139">
        <f t="shared" si="8"/>
        <v>-45610.635380204505</v>
      </c>
    </row>
    <row r="140" spans="1:8" x14ac:dyDescent="0.2">
      <c r="A140">
        <v>292.97563171386702</v>
      </c>
      <c r="B140">
        <v>-706.41229248046898</v>
      </c>
      <c r="C140">
        <v>-1.3334159437653899E-4</v>
      </c>
      <c r="D140" s="1">
        <v>4.5172368668132001E-7</v>
      </c>
      <c r="F140">
        <f t="shared" si="6"/>
        <v>-1.3334159437653898E-7</v>
      </c>
      <c r="G140">
        <f t="shared" si="7"/>
        <v>-56214.504104572181</v>
      </c>
      <c r="H140">
        <f t="shared" si="8"/>
        <v>-82511.831077726878</v>
      </c>
    </row>
    <row r="141" spans="1:8" x14ac:dyDescent="0.2">
      <c r="A141">
        <v>292.97782897949202</v>
      </c>
      <c r="B141">
        <v>-870.46279907226597</v>
      </c>
      <c r="C141">
        <v>-2.0594792501558401E-4</v>
      </c>
      <c r="D141" s="1">
        <v>4.29297074983581E-7</v>
      </c>
      <c r="F141">
        <f t="shared" si="6"/>
        <v>-2.0594792501558401E-7</v>
      </c>
      <c r="G141">
        <f t="shared" si="7"/>
        <v>-69269.228624979209</v>
      </c>
      <c r="H141">
        <f t="shared" si="8"/>
        <v>-127440.65705190126</v>
      </c>
    </row>
    <row r="142" spans="1:8" x14ac:dyDescent="0.2">
      <c r="A142">
        <v>292.97685241699202</v>
      </c>
      <c r="B142">
        <v>-1071.63989257812</v>
      </c>
      <c r="C142">
        <v>-2.7472893451447401E-4</v>
      </c>
      <c r="D142" s="1">
        <v>3.9649018640335202E-7</v>
      </c>
      <c r="F142">
        <f t="shared" si="6"/>
        <v>-2.7472893451447402E-7</v>
      </c>
      <c r="G142">
        <f t="shared" si="7"/>
        <v>-85278.393059137772</v>
      </c>
      <c r="H142">
        <f t="shared" si="8"/>
        <v>-170002.3727990656</v>
      </c>
    </row>
    <row r="143" spans="1:8" x14ac:dyDescent="0.2">
      <c r="A143">
        <v>292.97721862792997</v>
      </c>
      <c r="B143">
        <v>-1319.7404174804699</v>
      </c>
      <c r="C143">
        <v>-3.3662303786240601E-4</v>
      </c>
      <c r="D143" s="1">
        <v>3.5308529621283601E-7</v>
      </c>
      <c r="F143">
        <f t="shared" si="6"/>
        <v>-3.3662303786240602E-7</v>
      </c>
      <c r="G143">
        <f t="shared" si="7"/>
        <v>-105021.6055200892</v>
      </c>
      <c r="H143">
        <f t="shared" si="8"/>
        <v>-208302.46830962668</v>
      </c>
    </row>
    <row r="144" spans="1:8" x14ac:dyDescent="0.2">
      <c r="A144">
        <v>292.97743225097702</v>
      </c>
      <c r="B144">
        <v>-1625.09692382813</v>
      </c>
      <c r="C144">
        <v>-3.9361311847857901E-4</v>
      </c>
      <c r="D144" s="1">
        <v>3.2283362954763102E-7</v>
      </c>
      <c r="F144">
        <f t="shared" si="6"/>
        <v>-3.9361311847857904E-7</v>
      </c>
      <c r="G144">
        <f t="shared" si="7"/>
        <v>-129321.10421534009</v>
      </c>
      <c r="H144">
        <f t="shared" si="8"/>
        <v>-243567.95262376257</v>
      </c>
    </row>
    <row r="145" spans="1:8" x14ac:dyDescent="0.2">
      <c r="A145">
        <v>292.97663879394503</v>
      </c>
      <c r="B145">
        <v>-2001.06567382813</v>
      </c>
      <c r="C145">
        <v>-4.43485812396262E-4</v>
      </c>
      <c r="D145" s="1">
        <v>3.4505361841648899E-7</v>
      </c>
      <c r="F145">
        <f t="shared" si="6"/>
        <v>-4.4348581239626198E-7</v>
      </c>
      <c r="G145">
        <f t="shared" si="7"/>
        <v>-159239.74672063062</v>
      </c>
      <c r="H145">
        <f t="shared" si="8"/>
        <v>-274429.19524777506</v>
      </c>
    </row>
    <row r="146" spans="1:8" x14ac:dyDescent="0.2">
      <c r="A146">
        <v>292.97636413574202</v>
      </c>
      <c r="B146">
        <v>-2464.244140625</v>
      </c>
      <c r="C146">
        <v>-4.8926945538045402E-4</v>
      </c>
      <c r="D146" s="1">
        <v>3.4927471357394503E-7</v>
      </c>
      <c r="F146">
        <f t="shared" si="6"/>
        <v>-4.8926945538045403E-7</v>
      </c>
      <c r="G146">
        <f t="shared" si="7"/>
        <v>-196098.31798285421</v>
      </c>
      <c r="H146">
        <f t="shared" si="8"/>
        <v>-302760.13154486858</v>
      </c>
    </row>
    <row r="147" spans="1:8" x14ac:dyDescent="0.2">
      <c r="A147">
        <v>292.97772216796898</v>
      </c>
      <c r="B147">
        <v>-3035.49731445313</v>
      </c>
      <c r="C147">
        <v>-5.29041487697758E-4</v>
      </c>
      <c r="D147" s="1">
        <v>3.1013754403835501E-7</v>
      </c>
      <c r="F147">
        <f t="shared" si="6"/>
        <v>-5.2904148769775797E-7</v>
      </c>
      <c r="G147">
        <f t="shared" si="7"/>
        <v>-241557.20116869453</v>
      </c>
      <c r="H147">
        <f t="shared" si="8"/>
        <v>-327371.08079538</v>
      </c>
    </row>
    <row r="148" spans="1:8" x14ac:dyDescent="0.2">
      <c r="A148">
        <v>292.97622680664102</v>
      </c>
      <c r="B148">
        <v>-3738.1417236328102</v>
      </c>
      <c r="C148">
        <v>-5.6535125372010695E-4</v>
      </c>
      <c r="D148" s="1">
        <v>2.8625286557828202E-7</v>
      </c>
      <c r="F148">
        <f t="shared" si="6"/>
        <v>-5.6535125372010697E-7</v>
      </c>
      <c r="G148">
        <f t="shared" si="7"/>
        <v>-297471.86664710974</v>
      </c>
      <c r="H148">
        <f t="shared" si="8"/>
        <v>-349839.57829997397</v>
      </c>
    </row>
    <row r="149" spans="1:8" x14ac:dyDescent="0.2">
      <c r="A149">
        <v>292.97720336914102</v>
      </c>
      <c r="B149">
        <v>-4604.1281738281205</v>
      </c>
      <c r="C149">
        <v>-5.9832018008949101E-4</v>
      </c>
      <c r="D149" s="1">
        <v>3.31242708621153E-7</v>
      </c>
      <c r="F149">
        <f t="shared" si="6"/>
        <v>-5.9832018008949103E-7</v>
      </c>
      <c r="G149">
        <f t="shared" si="7"/>
        <v>-366384.87874670327</v>
      </c>
      <c r="H149">
        <f t="shared" si="8"/>
        <v>-370240.76291250222</v>
      </c>
    </row>
    <row r="150" spans="1:8" x14ac:dyDescent="0.2">
      <c r="A150">
        <v>292.97792053222702</v>
      </c>
      <c r="B150">
        <v>-5668.84912109375</v>
      </c>
      <c r="C150">
        <v>-6.2603735916419597E-4</v>
      </c>
      <c r="D150" s="1">
        <v>3.4470021592825398E-7</v>
      </c>
      <c r="F150">
        <f t="shared" si="6"/>
        <v>-6.2603735916419598E-7</v>
      </c>
      <c r="G150">
        <f t="shared" si="7"/>
        <v>-451112.67963210837</v>
      </c>
      <c r="H150">
        <f t="shared" si="8"/>
        <v>-387392.16423222091</v>
      </c>
    </row>
    <row r="151" spans="1:8" x14ac:dyDescent="0.2">
      <c r="A151">
        <v>292.97651672363298</v>
      </c>
      <c r="B151">
        <v>-6981.6708984375</v>
      </c>
      <c r="C151">
        <v>-6.4921700235556897E-4</v>
      </c>
      <c r="D151" s="1">
        <v>4.1325433197084398E-7</v>
      </c>
      <c r="F151">
        <f t="shared" si="6"/>
        <v>-6.4921700235556899E-7</v>
      </c>
      <c r="G151">
        <f t="shared" si="7"/>
        <v>-555583.71726358111</v>
      </c>
      <c r="H151">
        <f t="shared" si="8"/>
        <v>-401735.73656155448</v>
      </c>
    </row>
    <row r="152" spans="1:8" x14ac:dyDescent="0.2">
      <c r="A152">
        <v>292.97642517089798</v>
      </c>
      <c r="B152">
        <v>-8598.49658203125</v>
      </c>
      <c r="C152">
        <v>-6.6843169116354701E-4</v>
      </c>
      <c r="D152" s="1">
        <v>3.4844099677286799E-7</v>
      </c>
      <c r="F152">
        <f t="shared" si="6"/>
        <v>-6.6843169116354703E-7</v>
      </c>
      <c r="G152">
        <f t="shared" si="7"/>
        <v>-684246.61709452013</v>
      </c>
      <c r="H152">
        <f t="shared" si="8"/>
        <v>-413625.79355800757</v>
      </c>
    </row>
    <row r="153" spans="1:8" x14ac:dyDescent="0.2">
      <c r="A153">
        <v>292.97726440429699</v>
      </c>
      <c r="B153">
        <v>-10589.2021484375</v>
      </c>
      <c r="C153">
        <v>-6.8162488753946296E-4</v>
      </c>
      <c r="D153" s="1">
        <v>4.38135911167691E-7</v>
      </c>
      <c r="F153">
        <f t="shared" si="6"/>
        <v>-6.8162488753946293E-7</v>
      </c>
      <c r="G153">
        <f t="shared" si="7"/>
        <v>-842661.93266157305</v>
      </c>
      <c r="H153">
        <f t="shared" si="8"/>
        <v>-421789.74866769975</v>
      </c>
    </row>
    <row r="154" spans="1:8" x14ac:dyDescent="0.2">
      <c r="A154">
        <v>292.97813415527298</v>
      </c>
      <c r="B154">
        <v>-13041.025878906201</v>
      </c>
      <c r="C154">
        <v>-6.9020438540114701E-4</v>
      </c>
      <c r="D154" s="1">
        <v>3.5282688265678801E-7</v>
      </c>
      <c r="F154">
        <f t="shared" si="6"/>
        <v>-6.9020438540114697E-7</v>
      </c>
      <c r="G154">
        <f t="shared" si="7"/>
        <v>-1037771.8658086255</v>
      </c>
      <c r="H154">
        <f t="shared" si="8"/>
        <v>-427098.74532103172</v>
      </c>
    </row>
    <row r="155" spans="1:8" x14ac:dyDescent="0.2">
      <c r="A155">
        <v>292.97738647460898</v>
      </c>
      <c r="B155">
        <v>-16060.7509765625</v>
      </c>
      <c r="C155">
        <v>-6.9120595711210395E-4</v>
      </c>
      <c r="D155" s="1">
        <v>5.0989719122158896E-7</v>
      </c>
      <c r="F155">
        <f t="shared" si="6"/>
        <v>-6.9120595711210392E-7</v>
      </c>
      <c r="G155">
        <f t="shared" si="7"/>
        <v>-1278073.9538439536</v>
      </c>
      <c r="H155">
        <f t="shared" si="8"/>
        <v>-427718.51828994747</v>
      </c>
    </row>
    <row r="156" spans="1:8" x14ac:dyDescent="0.2">
      <c r="A156">
        <v>292.97946166992199</v>
      </c>
      <c r="B156">
        <v>-19780.107421875</v>
      </c>
      <c r="C156">
        <v>-6.8141839946652696E-4</v>
      </c>
      <c r="D156" s="1">
        <v>6.0047110892068503E-7</v>
      </c>
      <c r="F156">
        <f t="shared" si="6"/>
        <v>-6.8141839946652699E-7</v>
      </c>
      <c r="G156">
        <f t="shared" si="7"/>
        <v>-1574050.9355400461</v>
      </c>
      <c r="H156">
        <f t="shared" si="8"/>
        <v>-421661.97376690217</v>
      </c>
    </row>
    <row r="157" spans="1:8" x14ac:dyDescent="0.2">
      <c r="A157">
        <v>292.97868347167997</v>
      </c>
      <c r="B157">
        <v>-24359.4658203125</v>
      </c>
      <c r="C157">
        <v>-6.6071871728555899E-4</v>
      </c>
      <c r="D157" s="1">
        <v>5.8392157662149005E-7</v>
      </c>
      <c r="F157">
        <f t="shared" si="6"/>
        <v>-6.6071871728555895E-7</v>
      </c>
      <c r="G157">
        <f t="shared" si="7"/>
        <v>-1938464.6981904027</v>
      </c>
      <c r="H157">
        <f t="shared" si="8"/>
        <v>-408853.00228681328</v>
      </c>
    </row>
    <row r="158" spans="1:8" x14ac:dyDescent="0.2">
      <c r="A158">
        <v>292.97856140136702</v>
      </c>
      <c r="B158">
        <v>-29999.3427734375</v>
      </c>
      <c r="C158">
        <v>-6.2739046112348902E-4</v>
      </c>
      <c r="D158" s="1">
        <v>7.0407445028033003E-7</v>
      </c>
      <c r="F158">
        <f t="shared" si="6"/>
        <v>-6.2739046112348897E-7</v>
      </c>
      <c r="G158">
        <f t="shared" si="7"/>
        <v>-2387271.8459503534</v>
      </c>
      <c r="H158">
        <f t="shared" si="8"/>
        <v>-388229.46425715421</v>
      </c>
    </row>
    <row r="159" spans="1:8" x14ac:dyDescent="0.2">
      <c r="A159">
        <v>292.97871398925798</v>
      </c>
      <c r="B159">
        <v>-24359.3935546875</v>
      </c>
      <c r="C159">
        <v>-6.6247938846942405E-4</v>
      </c>
      <c r="D159" s="1">
        <v>6.7614601993580702E-7</v>
      </c>
      <c r="F159">
        <f t="shared" si="6"/>
        <v>-6.6247938846942406E-7</v>
      </c>
      <c r="G159">
        <f t="shared" si="7"/>
        <v>-1938458.9474746857</v>
      </c>
      <c r="H159">
        <f t="shared" si="8"/>
        <v>-409942.50630831358</v>
      </c>
    </row>
    <row r="160" spans="1:8" x14ac:dyDescent="0.2">
      <c r="A160">
        <v>292.979736328125</v>
      </c>
      <c r="B160">
        <v>-19780.0439453125</v>
      </c>
      <c r="C160">
        <v>-6.8239753630541095E-4</v>
      </c>
      <c r="D160" s="1">
        <v>5.9761817903835004E-7</v>
      </c>
      <c r="F160">
        <f t="shared" si="6"/>
        <v>-6.8239753630541094E-7</v>
      </c>
      <c r="G160">
        <f t="shared" si="7"/>
        <v>-1574045.8842356999</v>
      </c>
      <c r="H160">
        <f t="shared" si="8"/>
        <v>-422267.86402814975</v>
      </c>
    </row>
    <row r="161" spans="1:8" x14ac:dyDescent="0.2">
      <c r="A161">
        <v>292.98086547851602</v>
      </c>
      <c r="B161">
        <v>-16060.896484375</v>
      </c>
      <c r="C161">
        <v>-6.9125695235607704E-4</v>
      </c>
      <c r="D161" s="1">
        <v>6.4318736435080902E-7</v>
      </c>
      <c r="F161">
        <f t="shared" si="6"/>
        <v>-6.9125695235607705E-7</v>
      </c>
      <c r="G161">
        <f t="shared" si="7"/>
        <v>-1278085.5329877625</v>
      </c>
      <c r="H161">
        <f t="shared" si="8"/>
        <v>-427750.07416698762</v>
      </c>
    </row>
    <row r="162" spans="1:8" x14ac:dyDescent="0.2">
      <c r="A162">
        <v>292.97958374023398</v>
      </c>
      <c r="B162">
        <v>-13041.43359375</v>
      </c>
      <c r="C162">
        <v>-6.9127410800336197E-4</v>
      </c>
      <c r="D162" s="1">
        <v>4.4969734155631001E-7</v>
      </c>
      <c r="F162">
        <f t="shared" si="6"/>
        <v>-6.9127410800336192E-7</v>
      </c>
      <c r="G162">
        <f t="shared" si="7"/>
        <v>-1037804.3107250067</v>
      </c>
      <c r="H162">
        <f t="shared" si="8"/>
        <v>-427760.6900882792</v>
      </c>
    </row>
    <row r="163" spans="1:8" x14ac:dyDescent="0.2">
      <c r="A163">
        <v>292.98063659667997</v>
      </c>
      <c r="B163">
        <v>-10589.501953125</v>
      </c>
      <c r="C163">
        <v>-6.8454716093149098E-4</v>
      </c>
      <c r="D163" s="1">
        <v>5.0913380085662499E-7</v>
      </c>
      <c r="F163">
        <f t="shared" si="6"/>
        <v>-6.8454716093149097E-7</v>
      </c>
      <c r="G163">
        <f t="shared" si="7"/>
        <v>-842685.79036056192</v>
      </c>
      <c r="H163">
        <f t="shared" si="8"/>
        <v>-423598.05259276804</v>
      </c>
    </row>
    <row r="164" spans="1:8" x14ac:dyDescent="0.2">
      <c r="A164">
        <v>292.98063659667997</v>
      </c>
      <c r="B164">
        <v>-8598.50537109375</v>
      </c>
      <c r="C164">
        <v>-6.7123656819298905E-4</v>
      </c>
      <c r="D164" s="1">
        <v>4.3910831231687602E-7</v>
      </c>
      <c r="F164">
        <f t="shared" si="6"/>
        <v>-6.7123656819298906E-7</v>
      </c>
      <c r="G164">
        <f t="shared" si="7"/>
        <v>-684247.31650589115</v>
      </c>
      <c r="H164">
        <f t="shared" si="8"/>
        <v>-415361.45256770542</v>
      </c>
    </row>
    <row r="165" spans="1:8" x14ac:dyDescent="0.2">
      <c r="A165">
        <v>292.982177734375</v>
      </c>
      <c r="B165">
        <v>-6981.95263671875</v>
      </c>
      <c r="C165">
        <v>-6.5319547805283698E-4</v>
      </c>
      <c r="D165" s="1">
        <v>4.3994646319152098E-7</v>
      </c>
      <c r="F165">
        <f t="shared" si="6"/>
        <v>-6.5319547805283702E-7</v>
      </c>
      <c r="G165">
        <f t="shared" si="7"/>
        <v>-555606.13728364068</v>
      </c>
      <c r="H165">
        <f t="shared" si="8"/>
        <v>-404197.61888878111</v>
      </c>
    </row>
    <row r="166" spans="1:8" x14ac:dyDescent="0.2">
      <c r="A166">
        <v>292.98147583007801</v>
      </c>
      <c r="B166">
        <v>-5669.6120605468705</v>
      </c>
      <c r="C166">
        <v>-6.32096557653462E-4</v>
      </c>
      <c r="D166" s="1">
        <v>3.1097763491132703E-7</v>
      </c>
      <c r="F166">
        <f t="shared" si="6"/>
        <v>-6.3209655765346194E-7</v>
      </c>
      <c r="G166">
        <f t="shared" si="7"/>
        <v>-451173.39242473029</v>
      </c>
      <c r="H166">
        <f t="shared" si="8"/>
        <v>-391141.59864201897</v>
      </c>
    </row>
    <row r="167" spans="1:8" x14ac:dyDescent="0.2">
      <c r="A167">
        <v>292.98149108886702</v>
      </c>
      <c r="B167">
        <v>-4603.6560058593705</v>
      </c>
      <c r="C167">
        <v>-6.0727385631256401E-4</v>
      </c>
      <c r="D167" s="1">
        <v>3.4355452156732299E-7</v>
      </c>
      <c r="F167">
        <f t="shared" si="6"/>
        <v>-6.0727385631256397E-7</v>
      </c>
      <c r="G167">
        <f t="shared" si="7"/>
        <v>-366347.30481360515</v>
      </c>
      <c r="H167">
        <f t="shared" si="8"/>
        <v>-375781.30128312216</v>
      </c>
    </row>
    <row r="168" spans="1:8" x14ac:dyDescent="0.2">
      <c r="A168">
        <v>292.98124694824202</v>
      </c>
      <c r="B168">
        <v>-3738.7589111328102</v>
      </c>
      <c r="C168">
        <v>-5.7878693137097901E-4</v>
      </c>
      <c r="D168" s="1">
        <v>2.8839918073992701E-7</v>
      </c>
      <c r="F168">
        <f t="shared" si="6"/>
        <v>-5.7878693137097904E-7</v>
      </c>
      <c r="G168">
        <f t="shared" si="7"/>
        <v>-297520.98086782952</v>
      </c>
      <c r="H168">
        <f t="shared" si="8"/>
        <v>-358153.58091803925</v>
      </c>
    </row>
    <row r="169" spans="1:8" x14ac:dyDescent="0.2">
      <c r="A169">
        <v>292.98200988769503</v>
      </c>
      <c r="B169">
        <v>-3035.82421875</v>
      </c>
      <c r="C169">
        <v>-5.4834200429488503E-4</v>
      </c>
      <c r="D169" s="1">
        <v>2.8950246786640601E-7</v>
      </c>
      <c r="F169">
        <f t="shared" si="6"/>
        <v>-5.4834200429488501E-7</v>
      </c>
      <c r="G169">
        <f t="shared" si="7"/>
        <v>-241583.21538607695</v>
      </c>
      <c r="H169">
        <f t="shared" si="8"/>
        <v>-339314.24806153658</v>
      </c>
    </row>
    <row r="170" spans="1:8" x14ac:dyDescent="0.2">
      <c r="A170">
        <v>292.98358154296898</v>
      </c>
      <c r="B170">
        <v>-2464.9886474609398</v>
      </c>
      <c r="C170">
        <v>-5.1667824084037099E-4</v>
      </c>
      <c r="D170" s="1">
        <v>3.4008216800769502E-7</v>
      </c>
      <c r="F170">
        <f t="shared" si="6"/>
        <v>-5.1667824084037094E-7</v>
      </c>
      <c r="G170">
        <f t="shared" si="7"/>
        <v>-196157.56395440697</v>
      </c>
      <c r="H170">
        <f t="shared" si="8"/>
        <v>-319720.69877438591</v>
      </c>
    </row>
    <row r="171" spans="1:8" x14ac:dyDescent="0.2">
      <c r="A171">
        <v>292.98130798339798</v>
      </c>
      <c r="B171">
        <v>-2001.4379272460901</v>
      </c>
      <c r="C171">
        <v>-4.8333777481516301E-4</v>
      </c>
      <c r="D171" s="1">
        <v>3.3085956525780803E-7</v>
      </c>
      <c r="F171">
        <f t="shared" si="6"/>
        <v>-4.8333777481516303E-7</v>
      </c>
      <c r="G171">
        <f t="shared" si="7"/>
        <v>-159269.3697064062</v>
      </c>
      <c r="H171">
        <f t="shared" si="8"/>
        <v>-299089.60527661181</v>
      </c>
    </row>
    <row r="172" spans="1:8" x14ac:dyDescent="0.2">
      <c r="A172">
        <v>292.98370361328102</v>
      </c>
      <c r="B172">
        <v>-1625.40563964844</v>
      </c>
      <c r="C172">
        <v>-4.50098206365019E-4</v>
      </c>
      <c r="D172" s="1">
        <v>3.7350508080364502E-7</v>
      </c>
      <c r="F172">
        <f t="shared" si="6"/>
        <v>-4.5009820636501899E-7</v>
      </c>
      <c r="G172">
        <f t="shared" si="7"/>
        <v>-129345.67103974661</v>
      </c>
      <c r="H172">
        <f t="shared" si="8"/>
        <v>-278520.94723799615</v>
      </c>
    </row>
    <row r="173" spans="1:8" x14ac:dyDescent="0.2">
      <c r="A173">
        <v>292.98306274414102</v>
      </c>
      <c r="B173">
        <v>-1320.10363769531</v>
      </c>
      <c r="C173">
        <v>-4.1734999150128002E-4</v>
      </c>
      <c r="D173" s="1">
        <v>3.2868497455456702E-7</v>
      </c>
      <c r="F173">
        <f t="shared" si="6"/>
        <v>-4.1734999150128001E-7</v>
      </c>
      <c r="G173">
        <f t="shared" si="7"/>
        <v>-105050.50966640054</v>
      </c>
      <c r="H173">
        <f t="shared" si="8"/>
        <v>-258256.33899202364</v>
      </c>
    </row>
    <row r="174" spans="1:8" x14ac:dyDescent="0.2">
      <c r="A174">
        <v>292.98312377929699</v>
      </c>
      <c r="B174">
        <v>-1072.1392211914099</v>
      </c>
      <c r="C174">
        <v>-3.8543385406276498E-4</v>
      </c>
      <c r="D174" s="1">
        <v>3.1441689906704298E-7</v>
      </c>
      <c r="F174">
        <f t="shared" si="6"/>
        <v>-3.8543385406276496E-7</v>
      </c>
      <c r="G174">
        <f t="shared" si="7"/>
        <v>-85318.128367653917</v>
      </c>
      <c r="H174">
        <f t="shared" si="8"/>
        <v>-238506.62058424964</v>
      </c>
    </row>
    <row r="175" spans="1:8" x14ac:dyDescent="0.2">
      <c r="A175">
        <v>292.98318481445301</v>
      </c>
      <c r="B175">
        <v>-870.60806274414097</v>
      </c>
      <c r="C175">
        <v>-3.5444734923088399E-4</v>
      </c>
      <c r="D175" s="1">
        <v>3.4137020877133198E-7</v>
      </c>
      <c r="F175">
        <f t="shared" si="6"/>
        <v>-3.54447349230884E-7</v>
      </c>
      <c r="G175">
        <f t="shared" si="7"/>
        <v>-69280.788340694504</v>
      </c>
      <c r="H175">
        <f t="shared" si="8"/>
        <v>-219332.15919932426</v>
      </c>
    </row>
    <row r="176" spans="1:8" x14ac:dyDescent="0.2">
      <c r="A176">
        <v>292.98504638671898</v>
      </c>
      <c r="B176">
        <v>-707.02972412109398</v>
      </c>
      <c r="C176">
        <v>-3.2560706186899902E-4</v>
      </c>
      <c r="D176" s="1">
        <v>3.64617172587953E-7</v>
      </c>
      <c r="F176">
        <f t="shared" si="6"/>
        <v>-3.2560706186899899E-7</v>
      </c>
      <c r="G176">
        <f t="shared" si="7"/>
        <v>-56263.637753385585</v>
      </c>
      <c r="H176">
        <f t="shared" si="8"/>
        <v>-201485.7780294914</v>
      </c>
    </row>
    <row r="177" spans="1:8" x14ac:dyDescent="0.2">
      <c r="A177">
        <v>292.98303222656199</v>
      </c>
      <c r="B177">
        <v>-574.22213745117199</v>
      </c>
      <c r="C177">
        <v>-3.0016177279126399E-4</v>
      </c>
      <c r="D177" s="1">
        <v>2.6511405037034498E-7</v>
      </c>
      <c r="F177">
        <f t="shared" si="6"/>
        <v>-3.0016177279126401E-7</v>
      </c>
      <c r="G177">
        <f t="shared" si="7"/>
        <v>-45695.145804073894</v>
      </c>
      <c r="H177">
        <f t="shared" si="8"/>
        <v>-185740.22313401607</v>
      </c>
    </row>
    <row r="178" spans="1:8" x14ac:dyDescent="0.2">
      <c r="A178">
        <v>292.98381042480497</v>
      </c>
      <c r="B178">
        <v>-466.27462768554699</v>
      </c>
      <c r="C178">
        <v>-2.7570742552356499E-4</v>
      </c>
      <c r="D178" s="1">
        <v>3.1059834284739999E-7</v>
      </c>
      <c r="F178">
        <f t="shared" si="6"/>
        <v>-2.7570742552356499E-7</v>
      </c>
      <c r="G178">
        <f t="shared" si="7"/>
        <v>-37104.955917243962</v>
      </c>
      <c r="H178">
        <f t="shared" si="8"/>
        <v>-170607.86342058313</v>
      </c>
    </row>
    <row r="179" spans="1:8" x14ac:dyDescent="0.2">
      <c r="A179">
        <v>292.98370361328102</v>
      </c>
      <c r="B179">
        <v>-378.90147399902298</v>
      </c>
      <c r="C179">
        <v>-2.55740314978424E-4</v>
      </c>
      <c r="D179" s="1">
        <v>2.9540660504334801E-7</v>
      </c>
      <c r="F179">
        <f t="shared" si="6"/>
        <v>-2.5574031497842402E-7</v>
      </c>
      <c r="G179">
        <f t="shared" si="7"/>
        <v>-30152.021265874882</v>
      </c>
      <c r="H179">
        <f t="shared" si="8"/>
        <v>-158252.20755705278</v>
      </c>
    </row>
    <row r="180" spans="1:8" x14ac:dyDescent="0.2">
      <c r="A180">
        <v>292.98458862304699</v>
      </c>
      <c r="B180">
        <v>-307.46304321289102</v>
      </c>
      <c r="C180">
        <v>-2.37095037362578E-4</v>
      </c>
      <c r="D180" s="1">
        <v>3.3168767074668299E-7</v>
      </c>
      <c r="F180">
        <f t="shared" si="6"/>
        <v>-2.3709503736257801E-7</v>
      </c>
      <c r="G180">
        <f t="shared" si="7"/>
        <v>-24467.131572704315</v>
      </c>
      <c r="H180">
        <f t="shared" si="8"/>
        <v>-146714.50243038681</v>
      </c>
    </row>
    <row r="181" spans="1:8" x14ac:dyDescent="0.2">
      <c r="A181">
        <v>292.98458862304699</v>
      </c>
      <c r="B181">
        <v>-249.916427612305</v>
      </c>
      <c r="C181">
        <v>-2.2159844433566401E-4</v>
      </c>
      <c r="D181" s="1">
        <v>3.4962222787837799E-7</v>
      </c>
      <c r="F181">
        <f t="shared" si="6"/>
        <v>-2.2159844433566401E-7</v>
      </c>
      <c r="G181">
        <f t="shared" si="7"/>
        <v>-19887.717407183092</v>
      </c>
      <c r="H181">
        <f t="shared" si="8"/>
        <v>-137125.20456653897</v>
      </c>
    </row>
    <row r="182" spans="1:8" x14ac:dyDescent="0.2">
      <c r="A182">
        <v>292.98500061035202</v>
      </c>
      <c r="B182">
        <v>-203.00205993652301</v>
      </c>
      <c r="C182">
        <v>-2.0626058395368499E-4</v>
      </c>
      <c r="D182" s="1">
        <v>3.523040134609E-7</v>
      </c>
      <c r="F182">
        <f t="shared" si="6"/>
        <v>-2.0626058395368498E-7</v>
      </c>
      <c r="G182">
        <f t="shared" si="7"/>
        <v>-16154.390648367424</v>
      </c>
      <c r="H182">
        <f t="shared" si="8"/>
        <v>-127634.13052584727</v>
      </c>
    </row>
    <row r="183" spans="1:8" x14ac:dyDescent="0.2">
      <c r="A183">
        <v>292.98469543457003</v>
      </c>
      <c r="B183">
        <v>-165.04018402099601</v>
      </c>
      <c r="C183">
        <v>-1.9375545618184601E-4</v>
      </c>
      <c r="D183" s="1">
        <v>3.8319053596008502E-7</v>
      </c>
      <c r="F183">
        <f t="shared" si="6"/>
        <v>-1.93755456181846E-7</v>
      </c>
      <c r="G183">
        <f t="shared" si="7"/>
        <v>-13133.480547868778</v>
      </c>
      <c r="H183">
        <f t="shared" si="8"/>
        <v>-119895.95253915212</v>
      </c>
    </row>
    <row r="184" spans="1:8" x14ac:dyDescent="0.2">
      <c r="A184">
        <v>292.98442077636702</v>
      </c>
      <c r="B184">
        <v>-133.94250488281199</v>
      </c>
      <c r="C184">
        <v>-1.8433889485380901E-4</v>
      </c>
      <c r="D184" s="1">
        <v>2.8870767550083299E-7</v>
      </c>
      <c r="F184">
        <f t="shared" si="6"/>
        <v>-1.8433889485380901E-7</v>
      </c>
      <c r="G184">
        <f t="shared" si="7"/>
        <v>-10658.805871104927</v>
      </c>
      <c r="H184">
        <f t="shared" si="8"/>
        <v>-114068.98068340872</v>
      </c>
    </row>
    <row r="185" spans="1:8" x14ac:dyDescent="0.2">
      <c r="A185">
        <v>292.98480224609398</v>
      </c>
      <c r="B185">
        <v>-108.909996032715</v>
      </c>
      <c r="C185">
        <v>-1.7361568567922199E-4</v>
      </c>
      <c r="D185" s="1">
        <v>3.4515183441615599E-7</v>
      </c>
      <c r="F185">
        <f t="shared" si="6"/>
        <v>-1.7361568567922199E-7</v>
      </c>
      <c r="G185">
        <f t="shared" si="7"/>
        <v>-8666.782110362652</v>
      </c>
      <c r="H185">
        <f t="shared" si="8"/>
        <v>-107433.45462597971</v>
      </c>
    </row>
    <row r="186" spans="1:8" x14ac:dyDescent="0.2">
      <c r="A186">
        <v>292.98533630371099</v>
      </c>
      <c r="B186">
        <v>-88.408226013183594</v>
      </c>
      <c r="C186">
        <v>-1.6720439472760101E-4</v>
      </c>
      <c r="D186" s="1">
        <v>3.67689939869674E-7</v>
      </c>
      <c r="F186">
        <f t="shared" si="6"/>
        <v>-1.67204394727601E-7</v>
      </c>
      <c r="G186">
        <f t="shared" si="7"/>
        <v>-7035.3030899918285</v>
      </c>
      <c r="H186">
        <f t="shared" si="8"/>
        <v>-103466.14526190788</v>
      </c>
    </row>
    <row r="187" spans="1:8" x14ac:dyDescent="0.2">
      <c r="A187">
        <v>292.98519897460898</v>
      </c>
      <c r="B187">
        <v>-71.8833198547363</v>
      </c>
      <c r="C187">
        <v>-1.6112044893456799E-4</v>
      </c>
      <c r="D187" s="1">
        <v>3.5314807913311099E-7</v>
      </c>
      <c r="F187">
        <f t="shared" si="6"/>
        <v>-1.6112044893456799E-7</v>
      </c>
      <c r="G187">
        <f t="shared" si="7"/>
        <v>-5720.2928403685328</v>
      </c>
      <c r="H187">
        <f t="shared" si="8"/>
        <v>-99701.397210799289</v>
      </c>
    </row>
    <row r="188" spans="1:8" x14ac:dyDescent="0.2">
      <c r="A188">
        <v>292.98539733886702</v>
      </c>
      <c r="B188">
        <v>-58.490888595581097</v>
      </c>
      <c r="C188">
        <v>-1.54509045773528E-4</v>
      </c>
      <c r="D188" s="1">
        <v>2.8230029396224498E-7</v>
      </c>
      <c r="F188">
        <f t="shared" si="6"/>
        <v>-1.5450904577352801E-7</v>
      </c>
      <c r="G188">
        <f t="shared" si="7"/>
        <v>-4654.5570229120503</v>
      </c>
      <c r="H188">
        <f t="shared" si="8"/>
        <v>-95610.258332783429</v>
      </c>
    </row>
    <row r="189" spans="1:8" x14ac:dyDescent="0.2">
      <c r="A189">
        <v>292.98506164550798</v>
      </c>
      <c r="B189">
        <v>-47.640745162963903</v>
      </c>
      <c r="C189">
        <v>-1.4916040844563901E-4</v>
      </c>
      <c r="D189" s="1">
        <v>2.7129467053465301E-7</v>
      </c>
      <c r="F189">
        <f t="shared" si="6"/>
        <v>-1.4916040844563901E-7</v>
      </c>
      <c r="G189">
        <f t="shared" si="7"/>
        <v>-3791.1300426335042</v>
      </c>
      <c r="H189">
        <f t="shared" si="8"/>
        <v>-92300.51944929178</v>
      </c>
    </row>
    <row r="190" spans="1:8" x14ac:dyDescent="0.2">
      <c r="A190">
        <v>292.98582458496099</v>
      </c>
      <c r="B190">
        <v>-38.633768081665004</v>
      </c>
      <c r="C190">
        <v>-1.4543707836954699E-4</v>
      </c>
      <c r="D190" s="1">
        <v>2.4057153686841503E-7</v>
      </c>
      <c r="F190">
        <f t="shared" si="6"/>
        <v>-1.4543707836954697E-7</v>
      </c>
      <c r="G190">
        <f t="shared" si="7"/>
        <v>-3074.3775802314381</v>
      </c>
      <c r="H190">
        <f t="shared" si="8"/>
        <v>-89996.521332863224</v>
      </c>
    </row>
    <row r="191" spans="1:8" x14ac:dyDescent="0.2">
      <c r="A191">
        <v>292.98498535156199</v>
      </c>
      <c r="B191">
        <v>-31.597063064575199</v>
      </c>
      <c r="C191">
        <v>-1.4221687415353899E-4</v>
      </c>
      <c r="D191" s="1">
        <v>4.1700656560456101E-7</v>
      </c>
      <c r="F191">
        <f t="shared" si="6"/>
        <v>-1.4221687415353899E-7</v>
      </c>
      <c r="G191">
        <f t="shared" si="7"/>
        <v>-2514.414386956747</v>
      </c>
      <c r="H191">
        <f t="shared" si="8"/>
        <v>-88003.857696663414</v>
      </c>
    </row>
    <row r="192" spans="1:8" x14ac:dyDescent="0.2">
      <c r="A192">
        <v>292.98487854003901</v>
      </c>
      <c r="B192">
        <v>-25.6771545410156</v>
      </c>
      <c r="C192">
        <v>-1.3875610292255101E-4</v>
      </c>
      <c r="D192" s="1">
        <v>3.0114247255885601E-7</v>
      </c>
      <c r="F192">
        <f t="shared" si="6"/>
        <v>-1.3875610292255102E-7</v>
      </c>
      <c r="G192">
        <f t="shared" si="7"/>
        <v>-2043.3230348685699</v>
      </c>
      <c r="H192">
        <f t="shared" si="8"/>
        <v>-85862.331096917143</v>
      </c>
    </row>
    <row r="193" spans="1:8" x14ac:dyDescent="0.2">
      <c r="A193">
        <v>292.98513793945301</v>
      </c>
      <c r="B193">
        <v>-20.964833259582502</v>
      </c>
      <c r="C193">
        <v>-1.3585738033583899E-4</v>
      </c>
      <c r="D193" s="1">
        <v>3.3634386196764899E-7</v>
      </c>
      <c r="F193">
        <f t="shared" si="6"/>
        <v>-1.3585738033583898E-7</v>
      </c>
      <c r="G193">
        <f t="shared" si="7"/>
        <v>-1668.3284221799638</v>
      </c>
      <c r="H193">
        <f t="shared" si="8"/>
        <v>-84068.600419447015</v>
      </c>
    </row>
    <row r="194" spans="1:8" x14ac:dyDescent="0.2">
      <c r="A194">
        <v>292.98545837402298</v>
      </c>
      <c r="B194">
        <v>-16.933484077453599</v>
      </c>
      <c r="C194">
        <v>-1.3359115974581999E-4</v>
      </c>
      <c r="D194" s="1">
        <v>2.7956858609190801E-7</v>
      </c>
      <c r="F194">
        <f t="shared" si="6"/>
        <v>-1.3359115974581999E-7</v>
      </c>
      <c r="G194">
        <f t="shared" si="7"/>
        <v>-1347.5238473473216</v>
      </c>
      <c r="H194">
        <f t="shared" si="8"/>
        <v>-82666.26222645618</v>
      </c>
    </row>
    <row r="195" spans="1:8" x14ac:dyDescent="0.2">
      <c r="A195">
        <v>292.98588562011702</v>
      </c>
      <c r="B195">
        <v>-13.801016330718999</v>
      </c>
      <c r="C195">
        <v>-1.3200744554846001E-4</v>
      </c>
      <c r="D195" s="1">
        <v>3.2241936451372698E-7</v>
      </c>
      <c r="F195">
        <f t="shared" si="6"/>
        <v>-1.3200744554846E-7</v>
      </c>
      <c r="G195">
        <f t="shared" si="7"/>
        <v>-1098.2499843629503</v>
      </c>
      <c r="H195">
        <f t="shared" si="8"/>
        <v>-81686.259257847923</v>
      </c>
    </row>
    <row r="196" spans="1:8" x14ac:dyDescent="0.2">
      <c r="A196">
        <v>292.98512268066401</v>
      </c>
      <c r="B196">
        <v>-11.4039978981018</v>
      </c>
      <c r="C196">
        <v>-1.29960705885878E-4</v>
      </c>
      <c r="D196" s="1">
        <v>2.9650642117705502E-7</v>
      </c>
      <c r="F196">
        <f t="shared" si="6"/>
        <v>-1.2996070588587801E-7</v>
      </c>
      <c r="G196">
        <f t="shared" si="7"/>
        <v>-907.50131824624293</v>
      </c>
      <c r="H196">
        <f t="shared" si="8"/>
        <v>-80419.735949133363</v>
      </c>
    </row>
    <row r="197" spans="1:8" x14ac:dyDescent="0.2">
      <c r="A197">
        <v>292.98530578613298</v>
      </c>
      <c r="B197">
        <v>-9.2702884674072301</v>
      </c>
      <c r="C197">
        <v>-1.2938973383551199E-4</v>
      </c>
      <c r="D197" s="1">
        <v>3.0342245928773902E-7</v>
      </c>
      <c r="F197">
        <f t="shared" si="6"/>
        <v>-1.2938973383551198E-7</v>
      </c>
      <c r="G197">
        <f t="shared" si="7"/>
        <v>-737.70611673782571</v>
      </c>
      <c r="H197">
        <f t="shared" si="8"/>
        <v>-80066.4182196568</v>
      </c>
    </row>
    <row r="198" spans="1:8" x14ac:dyDescent="0.2">
      <c r="A198">
        <v>292.98385620117199</v>
      </c>
      <c r="B198">
        <v>-7.5633201599121103</v>
      </c>
      <c r="C198">
        <v>-1.2822914851631101E-4</v>
      </c>
      <c r="D198" s="1">
        <v>3.1871692354378397E-7</v>
      </c>
      <c r="F198">
        <f t="shared" si="6"/>
        <v>-1.2822914851631101E-7</v>
      </c>
      <c r="G198">
        <f t="shared" si="7"/>
        <v>-601.86989481829835</v>
      </c>
      <c r="H198">
        <f t="shared" si="8"/>
        <v>-79348.247567378698</v>
      </c>
    </row>
    <row r="199" spans="1:8" x14ac:dyDescent="0.2">
      <c r="A199">
        <v>292.98591613769503</v>
      </c>
      <c r="B199">
        <v>-6.4646868705749503</v>
      </c>
      <c r="C199">
        <v>-1.26317059544932E-4</v>
      </c>
      <c r="D199" s="1">
        <v>3.70680366500582E-7</v>
      </c>
      <c r="F199">
        <f t="shared" si="6"/>
        <v>-1.2631705954493201E-7</v>
      </c>
      <c r="G199">
        <f t="shared" si="7"/>
        <v>-514.44343549663961</v>
      </c>
      <c r="H199">
        <f t="shared" si="8"/>
        <v>-78165.046159373276</v>
      </c>
    </row>
    <row r="200" spans="1:8" x14ac:dyDescent="0.2">
      <c r="A200">
        <v>292.98522949218801</v>
      </c>
      <c r="B200">
        <v>-5.2026202678680402</v>
      </c>
      <c r="C200">
        <v>-1.259208584739E-4</v>
      </c>
      <c r="D200" s="1">
        <v>3.08141442718829E-7</v>
      </c>
      <c r="F200">
        <f t="shared" si="6"/>
        <v>-1.259208584739E-7</v>
      </c>
      <c r="G200">
        <f t="shared" si="7"/>
        <v>-414.01136633063959</v>
      </c>
      <c r="H200">
        <f t="shared" si="8"/>
        <v>-77919.876780690945</v>
      </c>
    </row>
    <row r="201" spans="1:8" x14ac:dyDescent="0.2">
      <c r="A201">
        <v>292.98541259765602</v>
      </c>
      <c r="B201">
        <v>-4.2129418849945104</v>
      </c>
      <c r="C201">
        <v>-1.24411401748527E-4</v>
      </c>
      <c r="D201" s="1">
        <v>2.9945627600449298E-7</v>
      </c>
      <c r="F201">
        <f t="shared" ref="F201:F257" si="9">C201/1000</f>
        <v>-1.24411401748527E-7</v>
      </c>
      <c r="G201">
        <f t="shared" ref="G201:G257" si="10">(B201*1000)/(4*PI())</f>
        <v>-335.25526297788178</v>
      </c>
      <c r="H201">
        <f t="shared" ref="H201:H257" si="11">F201/$G$4</f>
        <v>-76985.824364972796</v>
      </c>
    </row>
    <row r="202" spans="1:8" x14ac:dyDescent="0.2">
      <c r="A202">
        <v>292.98596191406301</v>
      </c>
      <c r="B202">
        <v>-3.7680406570434601</v>
      </c>
      <c r="C202">
        <v>-1.2463467974306101E-4</v>
      </c>
      <c r="D202" s="1">
        <v>2.9408470979200098E-7</v>
      </c>
      <c r="F202">
        <f t="shared" si="9"/>
        <v>-1.2463467974306101E-7</v>
      </c>
      <c r="G202">
        <f t="shared" si="10"/>
        <v>-299.85114816984992</v>
      </c>
      <c r="H202">
        <f t="shared" si="11"/>
        <v>-77123.98887586307</v>
      </c>
    </row>
    <row r="203" spans="1:8" x14ac:dyDescent="0.2">
      <c r="A203">
        <v>292.98619079589798</v>
      </c>
      <c r="B203">
        <v>-3.2868210077285802</v>
      </c>
      <c r="C203">
        <v>-1.2362137191177601E-4</v>
      </c>
      <c r="D203" s="1">
        <v>2.70871946444558E-7</v>
      </c>
      <c r="F203">
        <f t="shared" si="9"/>
        <v>-1.23621371911776E-7</v>
      </c>
      <c r="G203">
        <f t="shared" si="10"/>
        <v>-261.55690521914414</v>
      </c>
      <c r="H203">
        <f t="shared" si="11"/>
        <v>-76496.953591069469</v>
      </c>
    </row>
    <row r="204" spans="1:8" x14ac:dyDescent="0.2">
      <c r="A204">
        <v>292.98619079589798</v>
      </c>
      <c r="B204">
        <v>-2.4333372116088898</v>
      </c>
      <c r="C204">
        <v>-1.23400050218516E-4</v>
      </c>
      <c r="D204" s="1">
        <v>3.9629940534021701E-7</v>
      </c>
      <c r="F204">
        <f t="shared" si="9"/>
        <v>-1.23400050218516E-7</v>
      </c>
      <c r="G204">
        <f t="shared" si="10"/>
        <v>-193.63882271850207</v>
      </c>
      <c r="H204">
        <f t="shared" si="11"/>
        <v>-76359.99964017747</v>
      </c>
    </row>
    <row r="205" spans="1:8" x14ac:dyDescent="0.2">
      <c r="A205">
        <v>292.98760986328102</v>
      </c>
      <c r="B205">
        <v>-2.2335855960845898</v>
      </c>
      <c r="C205">
        <v>-1.2252358160893401E-4</v>
      </c>
      <c r="D205" s="1">
        <v>2.8449354134936298E-7</v>
      </c>
      <c r="F205">
        <f t="shared" si="9"/>
        <v>-1.2252358160893401E-7</v>
      </c>
      <c r="G205">
        <f t="shared" si="10"/>
        <v>-177.74309421786</v>
      </c>
      <c r="H205">
        <f t="shared" si="11"/>
        <v>-75817.640519627734</v>
      </c>
    </row>
    <row r="206" spans="1:8" x14ac:dyDescent="0.2">
      <c r="A206">
        <v>292.98721313476602</v>
      </c>
      <c r="B206">
        <v>-1.7069678902626</v>
      </c>
      <c r="C206">
        <v>-1.2222293329014499E-4</v>
      </c>
      <c r="D206" s="1">
        <v>3.9385814370365102E-7</v>
      </c>
      <c r="F206">
        <f t="shared" si="9"/>
        <v>-1.2222293329014499E-7</v>
      </c>
      <c r="G206">
        <f t="shared" si="10"/>
        <v>-135.83618871721836</v>
      </c>
      <c r="H206">
        <f t="shared" si="11"/>
        <v>-75631.599221638811</v>
      </c>
    </row>
    <row r="207" spans="1:8" x14ac:dyDescent="0.2">
      <c r="A207">
        <v>292.98648071289102</v>
      </c>
      <c r="B207">
        <v>-1.7342066764831501</v>
      </c>
      <c r="C207">
        <v>-1.2210322204459799E-4</v>
      </c>
      <c r="D207" s="1">
        <v>3.5191017301656698E-7</v>
      </c>
      <c r="F207">
        <f t="shared" si="9"/>
        <v>-1.2210322204459798E-7</v>
      </c>
      <c r="G207">
        <f t="shared" si="10"/>
        <v>-138.00378245263033</v>
      </c>
      <c r="H207">
        <f t="shared" si="11"/>
        <v>-75557.521855781131</v>
      </c>
    </row>
    <row r="208" spans="1:8" x14ac:dyDescent="0.2">
      <c r="A208">
        <v>292.98600769042997</v>
      </c>
      <c r="B208">
        <v>0.65373235940933205</v>
      </c>
      <c r="C208">
        <v>-1.20872069864957E-4</v>
      </c>
      <c r="D208" s="1">
        <v>2.84708313653214E-7</v>
      </c>
      <c r="F208">
        <f t="shared" si="9"/>
        <v>-1.20872069864957E-7</v>
      </c>
      <c r="G208">
        <f t="shared" si="10"/>
        <v>52.022368229561359</v>
      </c>
      <c r="H208">
        <f t="shared" si="11"/>
        <v>-74795.68440249066</v>
      </c>
    </row>
    <row r="209" spans="1:8" x14ac:dyDescent="0.2">
      <c r="A209">
        <v>292.986328125</v>
      </c>
      <c r="B209">
        <v>0.64465272426605202</v>
      </c>
      <c r="C209">
        <v>-1.21577878703775E-4</v>
      </c>
      <c r="D209" s="1">
        <v>3.2192321391326999E-7</v>
      </c>
      <c r="F209">
        <f t="shared" si="9"/>
        <v>-1.2157787870377499E-7</v>
      </c>
      <c r="G209">
        <f t="shared" si="10"/>
        <v>51.299833822299405</v>
      </c>
      <c r="H209">
        <f t="shared" si="11"/>
        <v>-75232.439189727287</v>
      </c>
    </row>
    <row r="210" spans="1:8" x14ac:dyDescent="0.2">
      <c r="A210">
        <v>292.98521423339798</v>
      </c>
      <c r="B210">
        <v>1.0986335873603801</v>
      </c>
      <c r="C210">
        <v>-1.20588179249818E-4</v>
      </c>
      <c r="D210" s="1">
        <v>2.9249268433043501E-7</v>
      </c>
      <c r="F210">
        <f t="shared" si="9"/>
        <v>-1.20588179249818E-7</v>
      </c>
      <c r="G210">
        <f t="shared" si="10"/>
        <v>87.426483037593059</v>
      </c>
      <c r="H210">
        <f t="shared" si="11"/>
        <v>-74620.012778115502</v>
      </c>
    </row>
    <row r="211" spans="1:8" x14ac:dyDescent="0.2">
      <c r="A211">
        <v>292.98588562011702</v>
      </c>
      <c r="B211">
        <v>1.6524901390075699</v>
      </c>
      <c r="C211">
        <v>-1.20656433456153E-4</v>
      </c>
      <c r="D211" s="1">
        <v>2.8012597152815797E-7</v>
      </c>
      <c r="F211">
        <f t="shared" si="9"/>
        <v>-1.20656433456153E-7</v>
      </c>
      <c r="G211">
        <f t="shared" si="10"/>
        <v>131.50098701683402</v>
      </c>
      <c r="H211">
        <f t="shared" si="11"/>
        <v>-74662.248507857526</v>
      </c>
    </row>
    <row r="212" spans="1:8" x14ac:dyDescent="0.2">
      <c r="A212">
        <v>292.98571777343801</v>
      </c>
      <c r="B212">
        <v>1.9611970782279999</v>
      </c>
      <c r="C212">
        <v>-1.19563514576251E-4</v>
      </c>
      <c r="D212" s="1">
        <v>3.23340802157674E-7</v>
      </c>
      <c r="F212">
        <f t="shared" si="9"/>
        <v>-1.19563514576251E-7</v>
      </c>
      <c r="G212">
        <f t="shared" si="10"/>
        <v>156.06710468868437</v>
      </c>
      <c r="H212">
        <f t="shared" si="11"/>
        <v>-73985.949874848229</v>
      </c>
    </row>
    <row r="213" spans="1:8" x14ac:dyDescent="0.2">
      <c r="A213">
        <v>292.986328125</v>
      </c>
      <c r="B213">
        <v>2.5786110162734999</v>
      </c>
      <c r="C213">
        <v>-1.19593057977918E-4</v>
      </c>
      <c r="D213" s="1">
        <v>2.9279340489704201E-7</v>
      </c>
      <c r="F213">
        <f t="shared" si="9"/>
        <v>-1.1959305797791801E-7</v>
      </c>
      <c r="G213">
        <f t="shared" si="10"/>
        <v>205.19934477557163</v>
      </c>
      <c r="H213">
        <f t="shared" si="11"/>
        <v>-74004.2313434268</v>
      </c>
    </row>
    <row r="214" spans="1:8" x14ac:dyDescent="0.2">
      <c r="A214">
        <v>292.98622131347702</v>
      </c>
      <c r="B214">
        <v>3.8769961595535301</v>
      </c>
      <c r="C214">
        <v>-1.18921544985124E-4</v>
      </c>
      <c r="D214" s="1">
        <v>3.5628455577925598E-7</v>
      </c>
      <c r="F214">
        <f t="shared" si="9"/>
        <v>-1.18921544985124E-7</v>
      </c>
      <c r="G214">
        <f t="shared" si="10"/>
        <v>308.52155157061947</v>
      </c>
      <c r="H214">
        <f t="shared" si="11"/>
        <v>-73588.69883920718</v>
      </c>
    </row>
    <row r="215" spans="1:8" x14ac:dyDescent="0.2">
      <c r="A215">
        <v>292.98670959472702</v>
      </c>
      <c r="B215">
        <v>4.4217729568481401</v>
      </c>
      <c r="C215">
        <v>-1.18183163607289E-4</v>
      </c>
      <c r="D215" s="1">
        <v>3.3204374765267101E-7</v>
      </c>
      <c r="F215">
        <f t="shared" si="9"/>
        <v>-1.18183163607289E-7</v>
      </c>
      <c r="G215">
        <f t="shared" si="10"/>
        <v>351.87351165622374</v>
      </c>
      <c r="H215">
        <f t="shared" si="11"/>
        <v>-73131.788152007692</v>
      </c>
    </row>
    <row r="216" spans="1:8" x14ac:dyDescent="0.2">
      <c r="A216">
        <v>292.986572265625</v>
      </c>
      <c r="B216">
        <v>5.8654320240020699</v>
      </c>
      <c r="C216">
        <v>-1.17660979569406E-4</v>
      </c>
      <c r="D216" s="1">
        <v>3.2431920238710501E-7</v>
      </c>
      <c r="F216">
        <f t="shared" si="9"/>
        <v>-1.17660979569406E-7</v>
      </c>
      <c r="G216">
        <f t="shared" si="10"/>
        <v>466.75624999471495</v>
      </c>
      <c r="H216">
        <f t="shared" si="11"/>
        <v>-72808.66046385649</v>
      </c>
    </row>
    <row r="217" spans="1:8" x14ac:dyDescent="0.2">
      <c r="A217">
        <v>292.98735046386702</v>
      </c>
      <c r="B217">
        <v>7.2727725505828902</v>
      </c>
      <c r="C217">
        <v>-1.1775217951767801E-4</v>
      </c>
      <c r="D217" s="1">
        <v>3.5106490683900999E-7</v>
      </c>
      <c r="F217">
        <f t="shared" si="9"/>
        <v>-1.1775217951767801E-7</v>
      </c>
      <c r="G217">
        <f t="shared" si="10"/>
        <v>578.74885070415917</v>
      </c>
      <c r="H217">
        <f t="shared" si="11"/>
        <v>-72865.09502773959</v>
      </c>
    </row>
    <row r="218" spans="1:8" x14ac:dyDescent="0.2">
      <c r="A218">
        <v>292.98773193359398</v>
      </c>
      <c r="B218">
        <v>8.9252629280090297</v>
      </c>
      <c r="C218">
        <v>-1.16828521184338E-4</v>
      </c>
      <c r="D218" s="1">
        <v>3.2827223802457098E-7</v>
      </c>
      <c r="F218">
        <f t="shared" si="9"/>
        <v>-1.16828521184338E-7</v>
      </c>
      <c r="G218">
        <f t="shared" si="10"/>
        <v>710.24985669374018</v>
      </c>
      <c r="H218">
        <f t="shared" si="11"/>
        <v>-72293.53488755654</v>
      </c>
    </row>
    <row r="219" spans="1:8" x14ac:dyDescent="0.2">
      <c r="A219">
        <v>292.98770141601602</v>
      </c>
      <c r="B219">
        <v>11.0408139228821</v>
      </c>
      <c r="C219">
        <v>-1.1612276673503801E-4</v>
      </c>
      <c r="D219" s="1">
        <v>3.1886521543475502E-7</v>
      </c>
      <c r="F219">
        <f t="shared" si="9"/>
        <v>-1.1612276673503801E-7</v>
      </c>
      <c r="G219">
        <f t="shared" si="10"/>
        <v>878.60005579225322</v>
      </c>
      <c r="H219">
        <f t="shared" si="11"/>
        <v>-71856.813756575066</v>
      </c>
    </row>
    <row r="220" spans="1:8" x14ac:dyDescent="0.2">
      <c r="A220">
        <v>292.98686218261702</v>
      </c>
      <c r="B220">
        <v>13.583106040954601</v>
      </c>
      <c r="C220">
        <v>-1.14837632564592E-4</v>
      </c>
      <c r="D220" s="1">
        <v>2.7412326161172502E-7</v>
      </c>
      <c r="F220">
        <f t="shared" si="9"/>
        <v>-1.14837632564592E-7</v>
      </c>
      <c r="G220">
        <f t="shared" si="10"/>
        <v>1080.9092344796547</v>
      </c>
      <c r="H220">
        <f t="shared" si="11"/>
        <v>-71061.572226129458</v>
      </c>
    </row>
    <row r="221" spans="1:8" x14ac:dyDescent="0.2">
      <c r="A221">
        <v>292.98800659179699</v>
      </c>
      <c r="B221">
        <v>16.715573310852101</v>
      </c>
      <c r="C221">
        <v>-1.14173805509845E-4</v>
      </c>
      <c r="D221" s="1">
        <v>3.4155133424394602E-7</v>
      </c>
      <c r="F221">
        <f t="shared" si="9"/>
        <v>-1.1417380550984501E-7</v>
      </c>
      <c r="G221">
        <f t="shared" si="10"/>
        <v>1330.1830595185354</v>
      </c>
      <c r="H221">
        <f t="shared" si="11"/>
        <v>-70650.795783398207</v>
      </c>
    </row>
    <row r="222" spans="1:8" x14ac:dyDescent="0.2">
      <c r="A222">
        <v>292.98628234863298</v>
      </c>
      <c r="B222">
        <v>20.483613014221199</v>
      </c>
      <c r="C222">
        <v>-1.12542687562711E-4</v>
      </c>
      <c r="D222" s="1">
        <v>3.7205175994952301E-7</v>
      </c>
      <c r="F222">
        <f t="shared" si="9"/>
        <v>-1.1254268756271099E-7</v>
      </c>
      <c r="G222">
        <f t="shared" si="10"/>
        <v>1630.034131797391</v>
      </c>
      <c r="H222">
        <f t="shared" si="11"/>
        <v>-69641.45935577371</v>
      </c>
    </row>
    <row r="223" spans="1:8" x14ac:dyDescent="0.2">
      <c r="A223">
        <v>292.98808288574202</v>
      </c>
      <c r="B223">
        <v>25.205014228820801</v>
      </c>
      <c r="C223">
        <v>-1.1141206391735001E-4</v>
      </c>
      <c r="D223" s="1">
        <v>3.0554719775251098E-7</v>
      </c>
      <c r="F223">
        <f t="shared" si="9"/>
        <v>-1.1141206391735E-7</v>
      </c>
      <c r="G223">
        <f t="shared" si="10"/>
        <v>2005.7513026091935</v>
      </c>
      <c r="H223">
        <f t="shared" si="11"/>
        <v>-68941.82899905942</v>
      </c>
    </row>
    <row r="224" spans="1:8" x14ac:dyDescent="0.2">
      <c r="A224">
        <v>292.98776245117199</v>
      </c>
      <c r="B224">
        <v>31.197560310363802</v>
      </c>
      <c r="C224">
        <v>-1.09573643068416E-4</v>
      </c>
      <c r="D224" s="1">
        <v>3.19005076073593E-7</v>
      </c>
      <c r="F224">
        <f t="shared" si="9"/>
        <v>-1.09573643068416E-7</v>
      </c>
      <c r="G224">
        <f t="shared" si="10"/>
        <v>2482.6229679009621</v>
      </c>
      <c r="H224">
        <f t="shared" si="11"/>
        <v>-67804.213454215569</v>
      </c>
    </row>
    <row r="225" spans="1:8" x14ac:dyDescent="0.2">
      <c r="A225">
        <v>292.98672485351602</v>
      </c>
      <c r="B225">
        <v>38.461254119872997</v>
      </c>
      <c r="C225">
        <v>-1.08306136506535E-4</v>
      </c>
      <c r="D225" s="1">
        <v>3.6584042942685799E-7</v>
      </c>
      <c r="F225">
        <f t="shared" si="9"/>
        <v>-1.08306136506535E-7</v>
      </c>
      <c r="G225">
        <f t="shared" si="10"/>
        <v>3060.6493553456557</v>
      </c>
      <c r="H225">
        <f t="shared" si="11"/>
        <v>-67019.879894887461</v>
      </c>
    </row>
    <row r="226" spans="1:8" x14ac:dyDescent="0.2">
      <c r="A226">
        <v>292.98684692382801</v>
      </c>
      <c r="B226">
        <v>47.232162475585902</v>
      </c>
      <c r="C226">
        <v>-1.05941691401967E-4</v>
      </c>
      <c r="D226" s="1">
        <v>4.1882009519670298E-7</v>
      </c>
      <c r="F226">
        <f t="shared" si="9"/>
        <v>-1.05941691401967E-7</v>
      </c>
      <c r="G226">
        <f t="shared" si="10"/>
        <v>3758.6160654545142</v>
      </c>
      <c r="H226">
        <f t="shared" si="11"/>
        <v>-65556.760333636747</v>
      </c>
    </row>
    <row r="227" spans="1:8" x14ac:dyDescent="0.2">
      <c r="A227">
        <v>292.98629760742199</v>
      </c>
      <c r="B227">
        <v>58.2911376953125</v>
      </c>
      <c r="C227">
        <v>-1.0304014425565101E-4</v>
      </c>
      <c r="D227" s="1">
        <v>4.4268316347612403E-7</v>
      </c>
      <c r="F227">
        <f t="shared" si="9"/>
        <v>-1.03040144255651E-7</v>
      </c>
      <c r="G227">
        <f t="shared" si="10"/>
        <v>4638.6613513296479</v>
      </c>
      <c r="H227">
        <f t="shared" si="11"/>
        <v>-63761.281817572068</v>
      </c>
    </row>
    <row r="228" spans="1:8" x14ac:dyDescent="0.2">
      <c r="A228">
        <v>292.98718261718801</v>
      </c>
      <c r="B228">
        <v>71.847000122070298</v>
      </c>
      <c r="C228" s="1">
        <v>-9.8947332991746901E-5</v>
      </c>
      <c r="D228" s="1">
        <v>3.5617107861434298E-7</v>
      </c>
      <c r="F228">
        <f t="shared" si="9"/>
        <v>-9.8947332991746904E-8</v>
      </c>
      <c r="G228">
        <f t="shared" si="10"/>
        <v>5717.4026078757479</v>
      </c>
      <c r="H228">
        <f t="shared" si="11"/>
        <v>-61228.648596713487</v>
      </c>
    </row>
    <row r="229" spans="1:8" x14ac:dyDescent="0.2">
      <c r="A229">
        <v>292.98753356933599</v>
      </c>
      <c r="B229">
        <v>88.390060424804702</v>
      </c>
      <c r="C229" s="1">
        <v>-9.4683398678388305E-5</v>
      </c>
      <c r="D229" s="1">
        <v>2.6049456052772598E-7</v>
      </c>
      <c r="F229">
        <f t="shared" si="9"/>
        <v>-9.4683398678388306E-8</v>
      </c>
      <c r="G229">
        <f t="shared" si="10"/>
        <v>7033.8575183994917</v>
      </c>
      <c r="H229">
        <f t="shared" si="11"/>
        <v>-58590.124365505777</v>
      </c>
    </row>
    <row r="230" spans="1:8" x14ac:dyDescent="0.2">
      <c r="A230">
        <v>292.98724365234398</v>
      </c>
      <c r="B230">
        <v>108.719326019287</v>
      </c>
      <c r="C230" s="1">
        <v>-8.8632294426795106E-5</v>
      </c>
      <c r="D230" s="1">
        <v>3.7322755718857001E-7</v>
      </c>
      <c r="F230">
        <f t="shared" si="9"/>
        <v>-8.8632294426795103E-8</v>
      </c>
      <c r="G230">
        <f t="shared" si="10"/>
        <v>8651.6090727944193</v>
      </c>
      <c r="H230">
        <f t="shared" si="11"/>
        <v>-54845.698673165163</v>
      </c>
    </row>
    <row r="231" spans="1:8" x14ac:dyDescent="0.2">
      <c r="A231">
        <v>292.98809814453102</v>
      </c>
      <c r="B231">
        <v>133.66103363037101</v>
      </c>
      <c r="C231" s="1">
        <v>-8.00132088894408E-5</v>
      </c>
      <c r="D231" s="1">
        <v>3.13530802154518E-7</v>
      </c>
      <c r="F231">
        <f t="shared" si="9"/>
        <v>-8.0013208889440807E-8</v>
      </c>
      <c r="G231">
        <f t="shared" si="10"/>
        <v>10636.407100522803</v>
      </c>
      <c r="H231">
        <f t="shared" si="11"/>
        <v>-49512.205150548441</v>
      </c>
    </row>
    <row r="232" spans="1:8" x14ac:dyDescent="0.2">
      <c r="A232">
        <v>292.98869323730497</v>
      </c>
      <c r="B232">
        <v>164.71331024169899</v>
      </c>
      <c r="C232" s="1">
        <v>-6.8449468721142894E-5</v>
      </c>
      <c r="D232" s="1">
        <v>2.8868603563313398E-7</v>
      </c>
      <c r="F232">
        <f t="shared" si="9"/>
        <v>-6.8449468721142897E-8</v>
      </c>
      <c r="G232">
        <f t="shared" si="10"/>
        <v>13107.468758997653</v>
      </c>
      <c r="H232">
        <f t="shared" si="11"/>
        <v>-42356.558183414229</v>
      </c>
    </row>
    <row r="233" spans="1:8" x14ac:dyDescent="0.2">
      <c r="A233">
        <v>292.98808288574202</v>
      </c>
      <c r="B233">
        <v>202.71150970458999</v>
      </c>
      <c r="C233" s="1">
        <v>-5.5319057219789403E-5</v>
      </c>
      <c r="D233" s="1">
        <v>3.1278496038537502E-7</v>
      </c>
      <c r="F233">
        <f t="shared" si="9"/>
        <v>-5.5319057219789402E-8</v>
      </c>
      <c r="G233">
        <f t="shared" si="10"/>
        <v>16131.269395553105</v>
      </c>
      <c r="H233">
        <f t="shared" si="11"/>
        <v>-34231.454378810668</v>
      </c>
    </row>
    <row r="234" spans="1:8" x14ac:dyDescent="0.2">
      <c r="A234">
        <v>292.98828125</v>
      </c>
      <c r="B234">
        <v>249.29902648925801</v>
      </c>
      <c r="C234" s="1">
        <v>-3.5941043052904598E-5</v>
      </c>
      <c r="D234" s="1">
        <v>3.0214122114837499E-7</v>
      </c>
      <c r="F234">
        <f t="shared" si="9"/>
        <v>-3.59410430529046E-8</v>
      </c>
      <c r="G234">
        <f t="shared" si="10"/>
        <v>19838.586186881384</v>
      </c>
      <c r="H234">
        <f t="shared" si="11"/>
        <v>-22240.331585988253</v>
      </c>
    </row>
    <row r="235" spans="1:8" x14ac:dyDescent="0.2">
      <c r="A235">
        <v>292.98837280273398</v>
      </c>
      <c r="B235">
        <v>306.88194274902298</v>
      </c>
      <c r="C235" s="1">
        <v>-1.30543958115292E-5</v>
      </c>
      <c r="D235" s="1">
        <v>2.9958143545750701E-7</v>
      </c>
      <c r="F235">
        <f t="shared" si="9"/>
        <v>-1.30543958115292E-8</v>
      </c>
      <c r="G235">
        <f t="shared" si="10"/>
        <v>24420.889067075517</v>
      </c>
      <c r="H235">
        <f t="shared" si="11"/>
        <v>-8078.0652658237768</v>
      </c>
    </row>
    <row r="236" spans="1:8" x14ac:dyDescent="0.2">
      <c r="A236">
        <v>292.98818969726602</v>
      </c>
      <c r="B236">
        <v>378.166015625</v>
      </c>
      <c r="C236" s="1">
        <v>2.20046039057854E-5</v>
      </c>
      <c r="D236" s="1">
        <v>3.1273484029814401E-7</v>
      </c>
      <c r="F236">
        <f t="shared" si="9"/>
        <v>2.2004603905785399E-8</v>
      </c>
      <c r="G236">
        <f t="shared" si="10"/>
        <v>30093.495348042841</v>
      </c>
      <c r="H236">
        <f t="shared" si="11"/>
        <v>13616.457556967011</v>
      </c>
    </row>
    <row r="237" spans="1:8" x14ac:dyDescent="0.2">
      <c r="A237">
        <v>292.98751831054699</v>
      </c>
      <c r="B237">
        <v>465.711669921875</v>
      </c>
      <c r="C237" s="1">
        <v>6.1809833341956304E-5</v>
      </c>
      <c r="D237" s="1">
        <v>3.4801843493464199E-7</v>
      </c>
      <c r="F237">
        <f t="shared" si="9"/>
        <v>6.1809833341956305E-8</v>
      </c>
      <c r="G237">
        <f t="shared" si="10"/>
        <v>37060.157161823779</v>
      </c>
      <c r="H237">
        <f t="shared" si="11"/>
        <v>38247.949197698246</v>
      </c>
    </row>
    <row r="238" spans="1:8" x14ac:dyDescent="0.2">
      <c r="A238">
        <v>292.98878479003901</v>
      </c>
      <c r="B238">
        <v>573.75912475585903</v>
      </c>
      <c r="C238">
        <v>1.12837826078484E-4</v>
      </c>
      <c r="D238" s="1">
        <v>3.3864678397851402E-7</v>
      </c>
      <c r="F238">
        <f t="shared" si="9"/>
        <v>1.1283782607848399E-7</v>
      </c>
      <c r="G238">
        <f t="shared" si="10"/>
        <v>45658.300424487214</v>
      </c>
      <c r="H238">
        <f t="shared" si="11"/>
        <v>69824.09118548788</v>
      </c>
    </row>
    <row r="239" spans="1:8" x14ac:dyDescent="0.2">
      <c r="A239">
        <v>292.98857116699202</v>
      </c>
      <c r="B239">
        <v>706.40322875976597</v>
      </c>
      <c r="C239">
        <v>1.7472509192836499E-4</v>
      </c>
      <c r="D239" s="1">
        <v>3.8276619618304398E-7</v>
      </c>
      <c r="F239">
        <f t="shared" si="9"/>
        <v>1.7472509192836498E-7</v>
      </c>
      <c r="G239">
        <f t="shared" si="10"/>
        <v>56213.782836595841</v>
      </c>
      <c r="H239">
        <f t="shared" si="11"/>
        <v>108119.95564956403</v>
      </c>
    </row>
    <row r="240" spans="1:8" x14ac:dyDescent="0.2">
      <c r="A240">
        <v>292.98695373535202</v>
      </c>
      <c r="B240">
        <v>870.11779785156205</v>
      </c>
      <c r="C240">
        <v>2.3825862760231301E-4</v>
      </c>
      <c r="D240" s="1">
        <v>3.52156129723064E-7</v>
      </c>
      <c r="F240">
        <f t="shared" si="9"/>
        <v>2.3825862760231302E-7</v>
      </c>
      <c r="G240">
        <f t="shared" si="10"/>
        <v>69241.774300155332</v>
      </c>
      <c r="H240">
        <f t="shared" si="11"/>
        <v>147434.53252867397</v>
      </c>
    </row>
    <row r="241" spans="1:8" x14ac:dyDescent="0.2">
      <c r="A241">
        <v>292.98873901367199</v>
      </c>
      <c r="B241">
        <v>1071.2857055664099</v>
      </c>
      <c r="C241">
        <v>2.9777042388734801E-4</v>
      </c>
      <c r="D241" s="1">
        <v>3.2598489471117498E-7</v>
      </c>
      <c r="F241">
        <f t="shared" si="9"/>
        <v>2.9777042388734801E-7</v>
      </c>
      <c r="G241">
        <f t="shared" si="10"/>
        <v>85250.207752291462</v>
      </c>
      <c r="H241">
        <f t="shared" si="11"/>
        <v>184260.45549114063</v>
      </c>
    </row>
    <row r="242" spans="1:8" x14ac:dyDescent="0.2">
      <c r="A242">
        <v>292.98820495605497</v>
      </c>
      <c r="B242">
        <v>1319.2410278320301</v>
      </c>
      <c r="C242">
        <v>3.5504632452283501E-4</v>
      </c>
      <c r="D242" s="1">
        <v>3.3992109469572299E-7</v>
      </c>
      <c r="F242">
        <f t="shared" si="9"/>
        <v>3.55046324522835E-7</v>
      </c>
      <c r="G242">
        <f t="shared" si="10"/>
        <v>104981.86535455013</v>
      </c>
      <c r="H242">
        <f t="shared" si="11"/>
        <v>219702.80534571447</v>
      </c>
    </row>
    <row r="243" spans="1:8" x14ac:dyDescent="0.2">
      <c r="A243">
        <v>292.98872375488298</v>
      </c>
      <c r="B243">
        <v>1624.73376464844</v>
      </c>
      <c r="C243">
        <v>4.0497673849115498E-4</v>
      </c>
      <c r="D243" s="1">
        <v>3.5468649621837902E-7</v>
      </c>
      <c r="F243">
        <f t="shared" si="9"/>
        <v>4.0497673849115496E-7</v>
      </c>
      <c r="G243">
        <f t="shared" si="10"/>
        <v>129292.20492605168</v>
      </c>
      <c r="H243">
        <f t="shared" si="11"/>
        <v>250599.76515977731</v>
      </c>
    </row>
    <row r="244" spans="1:8" x14ac:dyDescent="0.2">
      <c r="A244">
        <v>292.98834228515602</v>
      </c>
      <c r="B244">
        <v>2001.2109375</v>
      </c>
      <c r="C244">
        <v>4.5177796921907202E-4</v>
      </c>
      <c r="D244" s="1">
        <v>3.0262347600742901E-7</v>
      </c>
      <c r="F244">
        <f t="shared" si="9"/>
        <v>4.5177796921907203E-7</v>
      </c>
      <c r="G244">
        <f t="shared" si="10"/>
        <v>159251.30643634551</v>
      </c>
      <c r="H244">
        <f t="shared" si="11"/>
        <v>279560.38515316672</v>
      </c>
    </row>
    <row r="245" spans="1:8" x14ac:dyDescent="0.2">
      <c r="A245">
        <v>292.98802185058599</v>
      </c>
      <c r="B245">
        <v>2464.25317382813</v>
      </c>
      <c r="C245">
        <v>4.9321377155251897E-4</v>
      </c>
      <c r="D245" s="1">
        <v>2.6270688418572402E-7</v>
      </c>
      <c r="F245">
        <f t="shared" si="9"/>
        <v>4.9321377155251893E-7</v>
      </c>
      <c r="G245">
        <f t="shared" si="10"/>
        <v>196099.03682231926</v>
      </c>
      <c r="H245">
        <f t="shared" si="11"/>
        <v>305200.87594445579</v>
      </c>
    </row>
    <row r="246" spans="1:8" x14ac:dyDescent="0.2">
      <c r="A246">
        <v>292.98741149902298</v>
      </c>
      <c r="B246">
        <v>3035.1976318359398</v>
      </c>
      <c r="C246">
        <v>5.3189349121365804E-4</v>
      </c>
      <c r="D246" s="1">
        <v>2.6755992376277703E-7</v>
      </c>
      <c r="F246">
        <f t="shared" si="9"/>
        <v>5.3189349121365807E-7</v>
      </c>
      <c r="G246">
        <f t="shared" si="10"/>
        <v>241533.35318375225</v>
      </c>
      <c r="H246">
        <f t="shared" si="11"/>
        <v>329135.90169344505</v>
      </c>
    </row>
    <row r="247" spans="1:8" x14ac:dyDescent="0.2">
      <c r="A247">
        <v>292.98841857910202</v>
      </c>
      <c r="B247">
        <v>3738.1688232421898</v>
      </c>
      <c r="C247">
        <v>5.6713738325114501E-4</v>
      </c>
      <c r="D247" s="1">
        <v>3.5014083866278502E-7</v>
      </c>
      <c r="F247">
        <f t="shared" si="9"/>
        <v>5.6713738325114497E-7</v>
      </c>
      <c r="G247">
        <f t="shared" si="10"/>
        <v>297474.02316550404</v>
      </c>
      <c r="H247">
        <f t="shared" si="11"/>
        <v>350944.83595672413</v>
      </c>
    </row>
    <row r="248" spans="1:8" x14ac:dyDescent="0.2">
      <c r="A248">
        <v>292.99008178710898</v>
      </c>
      <c r="B248">
        <v>4603.5744628906295</v>
      </c>
      <c r="C248">
        <v>5.9828531730067396E-4</v>
      </c>
      <c r="D248" s="1">
        <v>3.0053501025880702E-7</v>
      </c>
      <c r="F248">
        <f t="shared" si="9"/>
        <v>5.9828531730067398E-7</v>
      </c>
      <c r="G248">
        <f t="shared" si="10"/>
        <v>366340.81583033042</v>
      </c>
      <c r="H248">
        <f t="shared" si="11"/>
        <v>370219.18980506173</v>
      </c>
    </row>
    <row r="249" spans="1:8" x14ac:dyDescent="0.2">
      <c r="A249">
        <v>292.98837280273398</v>
      </c>
      <c r="B249">
        <v>5669.70263671875</v>
      </c>
      <c r="C249">
        <v>6.2483167357690796E-4</v>
      </c>
      <c r="D249" s="1">
        <v>3.2333847938517502E-7</v>
      </c>
      <c r="F249">
        <f t="shared" si="9"/>
        <v>6.2483167357690794E-7</v>
      </c>
      <c r="G249">
        <f t="shared" si="10"/>
        <v>451180.60024747084</v>
      </c>
      <c r="H249">
        <f t="shared" si="11"/>
        <v>386646.08551630098</v>
      </c>
    </row>
    <row r="250" spans="1:8" x14ac:dyDescent="0.2">
      <c r="A250">
        <v>292.98910522460898</v>
      </c>
      <c r="B250">
        <v>6982.3063964843795</v>
      </c>
      <c r="C250">
        <v>6.4760875349181E-4</v>
      </c>
      <c r="D250" s="1">
        <v>3.4272197239296198E-7</v>
      </c>
      <c r="F250">
        <f t="shared" si="9"/>
        <v>6.4760875349181003E-7</v>
      </c>
      <c r="G250">
        <f t="shared" si="10"/>
        <v>555634.28859132412</v>
      </c>
      <c r="H250">
        <f t="shared" si="11"/>
        <v>400740.55153172277</v>
      </c>
    </row>
    <row r="251" spans="1:8" x14ac:dyDescent="0.2">
      <c r="A251">
        <v>292.989990234375</v>
      </c>
      <c r="B251">
        <v>8599.0771484375</v>
      </c>
      <c r="C251">
        <v>6.66932315004016E-4</v>
      </c>
      <c r="D251" s="1">
        <v>3.5534834175470602E-7</v>
      </c>
      <c r="F251">
        <f t="shared" si="9"/>
        <v>6.6693231500401603E-7</v>
      </c>
      <c r="G251">
        <f t="shared" si="10"/>
        <v>684292.81710119394</v>
      </c>
      <c r="H251">
        <f t="shared" si="11"/>
        <v>412697.9790003997</v>
      </c>
    </row>
    <row r="252" spans="1:8" x14ac:dyDescent="0.2">
      <c r="A252">
        <v>292.98881530761702</v>
      </c>
      <c r="B252">
        <v>10590.046875</v>
      </c>
      <c r="C252">
        <v>6.8054570830376195E-4</v>
      </c>
      <c r="D252" s="1">
        <v>3.8129619568470101E-7</v>
      </c>
      <c r="F252">
        <f t="shared" si="9"/>
        <v>6.8054570830376199E-7</v>
      </c>
      <c r="G252">
        <f t="shared" si="10"/>
        <v>842729.1538655645</v>
      </c>
      <c r="H252">
        <f t="shared" si="11"/>
        <v>421121.95213192946</v>
      </c>
    </row>
    <row r="253" spans="1:8" x14ac:dyDescent="0.2">
      <c r="A253">
        <v>292.99124145507801</v>
      </c>
      <c r="B253">
        <v>13041.797363281201</v>
      </c>
      <c r="C253">
        <v>6.8811833661715802E-4</v>
      </c>
      <c r="D253" s="1">
        <v>4.11024514208931E-7</v>
      </c>
      <c r="F253">
        <f t="shared" si="9"/>
        <v>6.88118336617158E-7</v>
      </c>
      <c r="G253">
        <f t="shared" si="10"/>
        <v>1037833.2585845252</v>
      </c>
      <c r="H253">
        <f t="shared" si="11"/>
        <v>425807.89751252014</v>
      </c>
    </row>
    <row r="254" spans="1:8" x14ac:dyDescent="0.2">
      <c r="A254">
        <v>292.99122619628901</v>
      </c>
      <c r="B254">
        <v>16061.6044921875</v>
      </c>
      <c r="C254">
        <v>6.8905828839408399E-4</v>
      </c>
      <c r="D254" s="1">
        <v>5.3078913720638503E-7</v>
      </c>
      <c r="F254">
        <f t="shared" si="9"/>
        <v>6.8905828839408397E-7</v>
      </c>
      <c r="G254">
        <f t="shared" si="10"/>
        <v>1278141.874459316</v>
      </c>
      <c r="H254">
        <f t="shared" si="11"/>
        <v>426389.54004200659</v>
      </c>
    </row>
    <row r="255" spans="1:8" x14ac:dyDescent="0.2">
      <c r="A255">
        <v>292.99035644531301</v>
      </c>
      <c r="B255">
        <v>19780.09765625</v>
      </c>
      <c r="C255">
        <v>6.8047368639920897E-4</v>
      </c>
      <c r="D255" s="1">
        <v>4.3942725466763502E-7</v>
      </c>
      <c r="F255">
        <f t="shared" si="9"/>
        <v>6.8047368639920899E-7</v>
      </c>
      <c r="G255">
        <f t="shared" si="10"/>
        <v>1574050.1584163005</v>
      </c>
      <c r="H255">
        <f t="shared" si="11"/>
        <v>421077.38494904729</v>
      </c>
    </row>
    <row r="256" spans="1:8" x14ac:dyDescent="0.2">
      <c r="A256">
        <v>292.99163818359398</v>
      </c>
      <c r="B256">
        <v>24359.4208984375</v>
      </c>
      <c r="C256">
        <v>6.60512935431508E-4</v>
      </c>
      <c r="D256" s="1">
        <v>7.3377580876680599E-7</v>
      </c>
      <c r="F256">
        <f t="shared" si="9"/>
        <v>6.60512935431508E-7</v>
      </c>
      <c r="G256">
        <f t="shared" si="10"/>
        <v>1938461.1234211733</v>
      </c>
      <c r="H256">
        <f t="shared" si="11"/>
        <v>408725.66439453966</v>
      </c>
    </row>
    <row r="257" spans="1:8" x14ac:dyDescent="0.2">
      <c r="A257">
        <v>292.99311828613298</v>
      </c>
      <c r="B257">
        <v>30000.2138671875</v>
      </c>
      <c r="C257">
        <v>6.25447705664439E-4</v>
      </c>
      <c r="D257" s="1">
        <v>7.01573174077473E-7</v>
      </c>
      <c r="F257">
        <f t="shared" si="9"/>
        <v>6.2544770566443903E-7</v>
      </c>
      <c r="G257">
        <f t="shared" si="10"/>
        <v>2387341.1653884579</v>
      </c>
      <c r="H257">
        <f t="shared" si="11"/>
        <v>387027.286414509</v>
      </c>
    </row>
    <row r="258" spans="1:8" x14ac:dyDescent="0.2">
      <c r="D258" s="1"/>
    </row>
    <row r="259" spans="1:8" x14ac:dyDescent="0.2">
      <c r="D259" s="1"/>
    </row>
    <row r="260" spans="1:8" x14ac:dyDescent="0.2">
      <c r="D260" s="1"/>
    </row>
    <row r="261" spans="1:8" x14ac:dyDescent="0.2">
      <c r="D261" s="1"/>
    </row>
    <row r="262" spans="1:8" x14ac:dyDescent="0.2">
      <c r="D262" s="1"/>
    </row>
    <row r="263" spans="1:8" x14ac:dyDescent="0.2">
      <c r="D263" s="1"/>
    </row>
    <row r="264" spans="1:8" x14ac:dyDescent="0.2">
      <c r="D264" s="1"/>
    </row>
    <row r="265" spans="1:8" x14ac:dyDescent="0.2">
      <c r="D265" s="1"/>
    </row>
    <row r="266" spans="1:8" x14ac:dyDescent="0.2">
      <c r="D266" s="1"/>
    </row>
    <row r="267" spans="1:8" x14ac:dyDescent="0.2">
      <c r="D267" s="1"/>
    </row>
    <row r="268" spans="1:8" x14ac:dyDescent="0.2">
      <c r="D268" s="1"/>
    </row>
    <row r="269" spans="1:8" x14ac:dyDescent="0.2">
      <c r="D269" s="1"/>
    </row>
    <row r="270" spans="1:8" x14ac:dyDescent="0.2">
      <c r="D270" s="1"/>
    </row>
    <row r="271" spans="1:8" x14ac:dyDescent="0.2">
      <c r="D271" s="1"/>
    </row>
    <row r="272" spans="1:8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  <row r="428" spans="4:4" x14ac:dyDescent="0.2">
      <c r="D428" s="1"/>
    </row>
    <row r="429" spans="4:4" x14ac:dyDescent="0.2">
      <c r="D429" s="1"/>
    </row>
    <row r="430" spans="4:4" x14ac:dyDescent="0.2">
      <c r="D430" s="1"/>
    </row>
    <row r="431" spans="4:4" x14ac:dyDescent="0.2">
      <c r="D431" s="1"/>
    </row>
    <row r="432" spans="4:4" x14ac:dyDescent="0.2">
      <c r="D432" s="1"/>
    </row>
    <row r="433" spans="4:4" x14ac:dyDescent="0.2">
      <c r="D433" s="1"/>
    </row>
    <row r="434" spans="4:4" x14ac:dyDescent="0.2">
      <c r="D434" s="1"/>
    </row>
    <row r="435" spans="4:4" x14ac:dyDescent="0.2">
      <c r="D435" s="1"/>
    </row>
    <row r="436" spans="4:4" x14ac:dyDescent="0.2">
      <c r="D436" s="1"/>
    </row>
    <row r="437" spans="4:4" x14ac:dyDescent="0.2">
      <c r="D437" s="1"/>
    </row>
    <row r="438" spans="4:4" x14ac:dyDescent="0.2">
      <c r="D438" s="1"/>
    </row>
    <row r="439" spans="4:4" x14ac:dyDescent="0.2">
      <c r="D439" s="1"/>
    </row>
    <row r="440" spans="4:4" x14ac:dyDescent="0.2">
      <c r="D440" s="1"/>
    </row>
    <row r="441" spans="4:4" x14ac:dyDescent="0.2">
      <c r="D441" s="1"/>
    </row>
    <row r="442" spans="4:4" x14ac:dyDescent="0.2">
      <c r="D442" s="1"/>
    </row>
    <row r="443" spans="4:4" x14ac:dyDescent="0.2">
      <c r="D443" s="1"/>
    </row>
    <row r="444" spans="4:4" x14ac:dyDescent="0.2">
      <c r="D444" s="1"/>
    </row>
    <row r="445" spans="4:4" x14ac:dyDescent="0.2">
      <c r="D445" s="1"/>
    </row>
    <row r="446" spans="4:4" x14ac:dyDescent="0.2">
      <c r="D446" s="1"/>
    </row>
    <row r="447" spans="4:4" x14ac:dyDescent="0.2">
      <c r="D447" s="1"/>
    </row>
    <row r="448" spans="4:4" x14ac:dyDescent="0.2">
      <c r="D448" s="1"/>
    </row>
    <row r="449" spans="4:4" x14ac:dyDescent="0.2">
      <c r="D449" s="1"/>
    </row>
    <row r="450" spans="4:4" x14ac:dyDescent="0.2">
      <c r="D450" s="1"/>
    </row>
    <row r="451" spans="4:4" x14ac:dyDescent="0.2">
      <c r="D451" s="1"/>
    </row>
    <row r="452" spans="4:4" x14ac:dyDescent="0.2">
      <c r="D452" s="1"/>
    </row>
    <row r="453" spans="4:4" x14ac:dyDescent="0.2">
      <c r="D453" s="1"/>
    </row>
    <row r="454" spans="4:4" x14ac:dyDescent="0.2">
      <c r="D454" s="1"/>
    </row>
    <row r="455" spans="4:4" x14ac:dyDescent="0.2">
      <c r="D455" s="1"/>
    </row>
    <row r="456" spans="4:4" x14ac:dyDescent="0.2">
      <c r="D456" s="1"/>
    </row>
    <row r="457" spans="4:4" x14ac:dyDescent="0.2">
      <c r="D457" s="1"/>
    </row>
    <row r="458" spans="4:4" x14ac:dyDescent="0.2">
      <c r="D458" s="1"/>
    </row>
    <row r="459" spans="4:4" x14ac:dyDescent="0.2">
      <c r="D459" s="1"/>
    </row>
    <row r="460" spans="4:4" x14ac:dyDescent="0.2">
      <c r="D460" s="1"/>
    </row>
    <row r="461" spans="4:4" x14ac:dyDescent="0.2">
      <c r="D461" s="1"/>
    </row>
    <row r="462" spans="4:4" x14ac:dyDescent="0.2">
      <c r="D462" s="1"/>
    </row>
    <row r="463" spans="4:4" x14ac:dyDescent="0.2">
      <c r="D463" s="1"/>
    </row>
    <row r="464" spans="4:4" x14ac:dyDescent="0.2">
      <c r="D464" s="1"/>
    </row>
    <row r="465" spans="4:4" x14ac:dyDescent="0.2">
      <c r="D465" s="1"/>
    </row>
    <row r="466" spans="4:4" x14ac:dyDescent="0.2">
      <c r="D466" s="1"/>
    </row>
    <row r="467" spans="4:4" x14ac:dyDescent="0.2">
      <c r="D467" s="1"/>
    </row>
    <row r="468" spans="4:4" x14ac:dyDescent="0.2">
      <c r="D468" s="1"/>
    </row>
    <row r="469" spans="4:4" x14ac:dyDescent="0.2">
      <c r="D469" s="1"/>
    </row>
    <row r="470" spans="4:4" x14ac:dyDescent="0.2">
      <c r="D470" s="1"/>
    </row>
    <row r="471" spans="4:4" x14ac:dyDescent="0.2">
      <c r="D471" s="1"/>
    </row>
    <row r="472" spans="4:4" x14ac:dyDescent="0.2">
      <c r="D472" s="1"/>
    </row>
    <row r="473" spans="4:4" x14ac:dyDescent="0.2">
      <c r="D473" s="1"/>
    </row>
    <row r="474" spans="4:4" x14ac:dyDescent="0.2">
      <c r="D474" s="1"/>
    </row>
    <row r="475" spans="4:4" x14ac:dyDescent="0.2">
      <c r="D475" s="1"/>
    </row>
    <row r="476" spans="4:4" x14ac:dyDescent="0.2">
      <c r="D476" s="1"/>
    </row>
    <row r="477" spans="4:4" x14ac:dyDescent="0.2">
      <c r="D477" s="1"/>
    </row>
    <row r="478" spans="4:4" x14ac:dyDescent="0.2">
      <c r="D478" s="1"/>
    </row>
    <row r="479" spans="4:4" x14ac:dyDescent="0.2">
      <c r="D479" s="1"/>
    </row>
    <row r="480" spans="4:4" x14ac:dyDescent="0.2">
      <c r="D480" s="1"/>
    </row>
    <row r="482" spans="4:4" x14ac:dyDescent="0.2">
      <c r="D482" s="1"/>
    </row>
    <row r="483" spans="4:4" x14ac:dyDescent="0.2">
      <c r="D483" s="1"/>
    </row>
    <row r="484" spans="4:4" x14ac:dyDescent="0.2">
      <c r="D484" s="1"/>
    </row>
    <row r="485" spans="4:4" x14ac:dyDescent="0.2">
      <c r="D485" s="1"/>
    </row>
    <row r="486" spans="4:4" x14ac:dyDescent="0.2">
      <c r="D486" s="1"/>
    </row>
    <row r="487" spans="4:4" x14ac:dyDescent="0.2">
      <c r="D487" s="1"/>
    </row>
    <row r="488" spans="4:4" x14ac:dyDescent="0.2">
      <c r="D488" s="1"/>
    </row>
    <row r="489" spans="4:4" x14ac:dyDescent="0.2">
      <c r="D489" s="1"/>
    </row>
    <row r="490" spans="4:4" x14ac:dyDescent="0.2">
      <c r="D490" s="1"/>
    </row>
    <row r="491" spans="4:4" x14ac:dyDescent="0.2">
      <c r="D491" s="1"/>
    </row>
    <row r="492" spans="4:4" x14ac:dyDescent="0.2">
      <c r="D492" s="1"/>
    </row>
    <row r="493" spans="4:4" x14ac:dyDescent="0.2">
      <c r="D493" s="1"/>
    </row>
    <row r="494" spans="4:4" x14ac:dyDescent="0.2">
      <c r="D494" s="1"/>
    </row>
    <row r="497" spans="4:4" x14ac:dyDescent="0.2">
      <c r="D497" s="1"/>
    </row>
    <row r="499" spans="4:4" x14ac:dyDescent="0.2">
      <c r="D499" s="1"/>
    </row>
    <row r="500" spans="4:4" x14ac:dyDescent="0.2">
      <c r="D500" s="1"/>
    </row>
    <row r="501" spans="4:4" x14ac:dyDescent="0.2">
      <c r="D501" s="1"/>
    </row>
    <row r="503" spans="4:4" x14ac:dyDescent="0.2">
      <c r="D503" s="1"/>
    </row>
    <row r="504" spans="4:4" x14ac:dyDescent="0.2">
      <c r="D504" s="1"/>
    </row>
    <row r="506" spans="4:4" x14ac:dyDescent="0.2">
      <c r="D506" s="1"/>
    </row>
    <row r="507" spans="4:4" x14ac:dyDescent="0.2">
      <c r="D507" s="1"/>
    </row>
    <row r="508" spans="4:4" x14ac:dyDescent="0.2">
      <c r="D508" s="1"/>
    </row>
    <row r="510" spans="4:4" x14ac:dyDescent="0.2">
      <c r="D510" s="1"/>
    </row>
    <row r="511" spans="4:4" x14ac:dyDescent="0.2">
      <c r="D511" s="1"/>
    </row>
    <row r="512" spans="4:4" x14ac:dyDescent="0.2">
      <c r="D512" s="1"/>
    </row>
    <row r="513" spans="4:4" x14ac:dyDescent="0.2">
      <c r="D513" s="1"/>
    </row>
    <row r="516" spans="4:4" x14ac:dyDescent="0.2">
      <c r="D516" s="1"/>
    </row>
    <row r="517" spans="4:4" x14ac:dyDescent="0.2">
      <c r="D517" s="1"/>
    </row>
    <row r="519" spans="4:4" x14ac:dyDescent="0.2">
      <c r="D519" s="1"/>
    </row>
    <row r="520" spans="4:4" x14ac:dyDescent="0.2">
      <c r="D520" s="1"/>
    </row>
    <row r="522" spans="4:4" x14ac:dyDescent="0.2">
      <c r="D522" s="1"/>
    </row>
    <row r="523" spans="4:4" x14ac:dyDescent="0.2">
      <c r="D523" s="1"/>
    </row>
    <row r="524" spans="4:4" x14ac:dyDescent="0.2">
      <c r="D524" s="1"/>
    </row>
    <row r="526" spans="4:4" x14ac:dyDescent="0.2">
      <c r="D526" s="1"/>
    </row>
    <row r="527" spans="4:4" x14ac:dyDescent="0.2">
      <c r="D527" s="1"/>
    </row>
    <row r="529" spans="4:4" x14ac:dyDescent="0.2">
      <c r="D529" s="1"/>
    </row>
    <row r="530" spans="4:4" x14ac:dyDescent="0.2">
      <c r="D530" s="1"/>
    </row>
    <row r="542" spans="4:4" x14ac:dyDescent="0.2">
      <c r="D542" s="1"/>
    </row>
    <row r="560" spans="4:4" x14ac:dyDescent="0.2">
      <c r="D560" s="1"/>
    </row>
    <row r="728" spans="4:4" x14ac:dyDescent="0.2">
      <c r="D728" s="1"/>
    </row>
    <row r="732" spans="4:4" x14ac:dyDescent="0.2">
      <c r="D732" s="1"/>
    </row>
    <row r="745" spans="4:4" x14ac:dyDescent="0.2">
      <c r="D745" s="1"/>
    </row>
    <row r="749" spans="4:4" x14ac:dyDescent="0.2">
      <c r="D749" s="1"/>
    </row>
    <row r="759" spans="4:4" x14ac:dyDescent="0.2">
      <c r="D759" s="1"/>
    </row>
    <row r="770" spans="4:4" x14ac:dyDescent="0.2">
      <c r="D770" s="1"/>
    </row>
    <row r="771" spans="4:4" x14ac:dyDescent="0.2">
      <c r="D771" s="1"/>
    </row>
    <row r="772" spans="4:4" x14ac:dyDescent="0.2">
      <c r="D772" s="1"/>
    </row>
    <row r="773" spans="4:4" x14ac:dyDescent="0.2">
      <c r="D773" s="1"/>
    </row>
    <row r="775" spans="4:4" x14ac:dyDescent="0.2">
      <c r="D775" s="1"/>
    </row>
    <row r="776" spans="4:4" x14ac:dyDescent="0.2">
      <c r="D776" s="1"/>
    </row>
    <row r="777" spans="4:4" x14ac:dyDescent="0.2">
      <c r="D777" s="1"/>
    </row>
    <row r="779" spans="4:4" x14ac:dyDescent="0.2">
      <c r="D779" s="1"/>
    </row>
    <row r="780" spans="4:4" x14ac:dyDescent="0.2">
      <c r="D780" s="1"/>
    </row>
    <row r="781" spans="4:4" x14ac:dyDescent="0.2">
      <c r="D781" s="1"/>
    </row>
    <row r="782" spans="4:4" x14ac:dyDescent="0.2">
      <c r="D782" s="1"/>
    </row>
    <row r="783" spans="4:4" x14ac:dyDescent="0.2">
      <c r="D783" s="1"/>
    </row>
    <row r="784" spans="4:4" x14ac:dyDescent="0.2">
      <c r="D784" s="1"/>
    </row>
    <row r="785" spans="4:4" x14ac:dyDescent="0.2">
      <c r="D785" s="1"/>
    </row>
    <row r="786" spans="4:4" x14ac:dyDescent="0.2">
      <c r="D786" s="1"/>
    </row>
    <row r="787" spans="4:4" x14ac:dyDescent="0.2">
      <c r="D787" s="1"/>
    </row>
    <row r="789" spans="4:4" x14ac:dyDescent="0.2">
      <c r="D789" s="1"/>
    </row>
    <row r="790" spans="4:4" x14ac:dyDescent="0.2">
      <c r="D790" s="1"/>
    </row>
    <row r="791" spans="4:4" x14ac:dyDescent="0.2">
      <c r="D791" s="1"/>
    </row>
    <row r="793" spans="4:4" x14ac:dyDescent="0.2">
      <c r="D793" s="1"/>
    </row>
    <row r="796" spans="4:4" x14ac:dyDescent="0.2">
      <c r="D796" s="1"/>
    </row>
    <row r="797" spans="4:4" x14ac:dyDescent="0.2">
      <c r="D797" s="1"/>
    </row>
    <row r="799" spans="4:4" x14ac:dyDescent="0.2">
      <c r="D799" s="1"/>
    </row>
    <row r="800" spans="4:4" x14ac:dyDescent="0.2">
      <c r="D800" s="1"/>
    </row>
    <row r="801" spans="4:4" x14ac:dyDescent="0.2">
      <c r="D801" s="1"/>
    </row>
    <row r="803" spans="4:4" x14ac:dyDescent="0.2">
      <c r="D803" s="1"/>
    </row>
    <row r="804" spans="4:4" x14ac:dyDescent="0.2">
      <c r="D804" s="1"/>
    </row>
    <row r="807" spans="4:4" x14ac:dyDescent="0.2">
      <c r="D807" s="1"/>
    </row>
    <row r="810" spans="4:4" x14ac:dyDescent="0.2">
      <c r="D810" s="1"/>
    </row>
    <row r="811" spans="4:4" x14ac:dyDescent="0.2">
      <c r="D811" s="1"/>
    </row>
    <row r="812" spans="4:4" x14ac:dyDescent="0.2">
      <c r="D812" s="1"/>
    </row>
    <row r="813" spans="4:4" x14ac:dyDescent="0.2">
      <c r="D813" s="1"/>
    </row>
    <row r="815" spans="4:4" x14ac:dyDescent="0.2">
      <c r="D815" s="1"/>
    </row>
    <row r="816" spans="4:4" x14ac:dyDescent="0.2">
      <c r="D816" s="1"/>
    </row>
    <row r="817" spans="4:4" x14ac:dyDescent="0.2">
      <c r="D817" s="1"/>
    </row>
    <row r="818" spans="4:4" x14ac:dyDescent="0.2">
      <c r="D818" s="1"/>
    </row>
    <row r="819" spans="4:4" x14ac:dyDescent="0.2">
      <c r="D819" s="1"/>
    </row>
    <row r="820" spans="4:4" x14ac:dyDescent="0.2">
      <c r="D820" s="1"/>
    </row>
    <row r="823" spans="4:4" x14ac:dyDescent="0.2">
      <c r="D823" s="1"/>
    </row>
    <row r="824" spans="4:4" x14ac:dyDescent="0.2">
      <c r="D824" s="1"/>
    </row>
    <row r="825" spans="4:4" x14ac:dyDescent="0.2">
      <c r="D825" s="1"/>
    </row>
    <row r="826" spans="4:4" x14ac:dyDescent="0.2">
      <c r="D826" s="1"/>
    </row>
    <row r="827" spans="4:4" x14ac:dyDescent="0.2">
      <c r="D827" s="1"/>
    </row>
    <row r="828" spans="4:4" x14ac:dyDescent="0.2">
      <c r="D828" s="1"/>
    </row>
    <row r="829" spans="4:4" x14ac:dyDescent="0.2">
      <c r="D829" s="1"/>
    </row>
    <row r="830" spans="4:4" x14ac:dyDescent="0.2">
      <c r="D830" s="1"/>
    </row>
    <row r="831" spans="4:4" x14ac:dyDescent="0.2">
      <c r="D831" s="1"/>
    </row>
    <row r="832" spans="4:4" x14ac:dyDescent="0.2">
      <c r="D832" s="1"/>
    </row>
    <row r="833" spans="4:4" x14ac:dyDescent="0.2">
      <c r="D833" s="1"/>
    </row>
    <row r="834" spans="4:4" x14ac:dyDescent="0.2">
      <c r="D834" s="1"/>
    </row>
    <row r="836" spans="4:4" x14ac:dyDescent="0.2">
      <c r="D836" s="1"/>
    </row>
    <row r="837" spans="4:4" x14ac:dyDescent="0.2">
      <c r="D837" s="1"/>
    </row>
    <row r="838" spans="4:4" x14ac:dyDescent="0.2">
      <c r="D838" s="1"/>
    </row>
    <row r="839" spans="4:4" x14ac:dyDescent="0.2">
      <c r="D839" s="1"/>
    </row>
    <row r="840" spans="4:4" x14ac:dyDescent="0.2">
      <c r="D840" s="1"/>
    </row>
    <row r="841" spans="4:4" x14ac:dyDescent="0.2">
      <c r="D841" s="1"/>
    </row>
    <row r="842" spans="4:4" x14ac:dyDescent="0.2">
      <c r="D842" s="1"/>
    </row>
    <row r="843" spans="4:4" x14ac:dyDescent="0.2">
      <c r="D843" s="1"/>
    </row>
    <row r="844" spans="4:4" x14ac:dyDescent="0.2">
      <c r="D844" s="1"/>
    </row>
    <row r="845" spans="4:4" x14ac:dyDescent="0.2">
      <c r="D845" s="1"/>
    </row>
    <row r="846" spans="4:4" x14ac:dyDescent="0.2">
      <c r="D846" s="1"/>
    </row>
    <row r="847" spans="4:4" x14ac:dyDescent="0.2">
      <c r="D847" s="1"/>
    </row>
    <row r="848" spans="4:4" x14ac:dyDescent="0.2">
      <c r="D848" s="1"/>
    </row>
    <row r="849" spans="4:4" x14ac:dyDescent="0.2">
      <c r="D849" s="1"/>
    </row>
    <row r="850" spans="4:4" x14ac:dyDescent="0.2">
      <c r="D850" s="1"/>
    </row>
    <row r="851" spans="4:4" x14ac:dyDescent="0.2">
      <c r="D851" s="1"/>
    </row>
    <row r="852" spans="4:4" x14ac:dyDescent="0.2">
      <c r="D852" s="1"/>
    </row>
    <row r="853" spans="4:4" x14ac:dyDescent="0.2">
      <c r="D853" s="1"/>
    </row>
    <row r="854" spans="4:4" x14ac:dyDescent="0.2">
      <c r="D854" s="1"/>
    </row>
    <row r="855" spans="4:4" x14ac:dyDescent="0.2">
      <c r="D855" s="1"/>
    </row>
    <row r="856" spans="4:4" x14ac:dyDescent="0.2">
      <c r="D856" s="1"/>
    </row>
    <row r="857" spans="4:4" x14ac:dyDescent="0.2">
      <c r="D857" s="1"/>
    </row>
    <row r="858" spans="4:4" x14ac:dyDescent="0.2">
      <c r="D858" s="1"/>
    </row>
    <row r="859" spans="4:4" x14ac:dyDescent="0.2">
      <c r="D859" s="1"/>
    </row>
    <row r="860" spans="4:4" x14ac:dyDescent="0.2">
      <c r="D860" s="1"/>
    </row>
    <row r="861" spans="4:4" x14ac:dyDescent="0.2">
      <c r="D861" s="1"/>
    </row>
    <row r="862" spans="4:4" x14ac:dyDescent="0.2">
      <c r="D862" s="1"/>
    </row>
    <row r="863" spans="4:4" x14ac:dyDescent="0.2">
      <c r="D863" s="1"/>
    </row>
    <row r="864" spans="4:4" x14ac:dyDescent="0.2">
      <c r="D864" s="1"/>
    </row>
    <row r="865" spans="4:4" x14ac:dyDescent="0.2">
      <c r="D865" s="1"/>
    </row>
    <row r="866" spans="4:4" x14ac:dyDescent="0.2">
      <c r="D866" s="1"/>
    </row>
    <row r="867" spans="4:4" x14ac:dyDescent="0.2">
      <c r="D867" s="1"/>
    </row>
    <row r="868" spans="4:4" x14ac:dyDescent="0.2">
      <c r="D868" s="1"/>
    </row>
    <row r="869" spans="4:4" x14ac:dyDescent="0.2">
      <c r="D869" s="1"/>
    </row>
    <row r="870" spans="4:4" x14ac:dyDescent="0.2">
      <c r="D870" s="1"/>
    </row>
    <row r="871" spans="4:4" x14ac:dyDescent="0.2">
      <c r="D871" s="1"/>
    </row>
    <row r="872" spans="4:4" x14ac:dyDescent="0.2">
      <c r="D872" s="1"/>
    </row>
    <row r="873" spans="4:4" x14ac:dyDescent="0.2">
      <c r="D873" s="1"/>
    </row>
    <row r="874" spans="4:4" x14ac:dyDescent="0.2">
      <c r="D874" s="1"/>
    </row>
    <row r="875" spans="4:4" x14ac:dyDescent="0.2">
      <c r="D875" s="1"/>
    </row>
    <row r="876" spans="4:4" x14ac:dyDescent="0.2">
      <c r="D876" s="1"/>
    </row>
    <row r="877" spans="4:4" x14ac:dyDescent="0.2">
      <c r="D877" s="1"/>
    </row>
    <row r="878" spans="4:4" x14ac:dyDescent="0.2">
      <c r="D878" s="1"/>
    </row>
    <row r="879" spans="4:4" x14ac:dyDescent="0.2">
      <c r="D879" s="1"/>
    </row>
    <row r="880" spans="4:4" x14ac:dyDescent="0.2">
      <c r="D880" s="1"/>
    </row>
    <row r="881" spans="4:4" x14ac:dyDescent="0.2">
      <c r="D881" s="1"/>
    </row>
    <row r="882" spans="4:4" x14ac:dyDescent="0.2">
      <c r="D882" s="1"/>
    </row>
    <row r="883" spans="4:4" x14ac:dyDescent="0.2">
      <c r="D883" s="1"/>
    </row>
    <row r="884" spans="4:4" x14ac:dyDescent="0.2">
      <c r="D884" s="1"/>
    </row>
    <row r="885" spans="4:4" x14ac:dyDescent="0.2">
      <c r="D885" s="1"/>
    </row>
    <row r="886" spans="4:4" x14ac:dyDescent="0.2">
      <c r="D886" s="1"/>
    </row>
    <row r="887" spans="4:4" x14ac:dyDescent="0.2">
      <c r="D887" s="1"/>
    </row>
    <row r="888" spans="4:4" x14ac:dyDescent="0.2">
      <c r="D888" s="1"/>
    </row>
    <row r="889" spans="4:4" x14ac:dyDescent="0.2">
      <c r="D889" s="1"/>
    </row>
    <row r="890" spans="4:4" x14ac:dyDescent="0.2">
      <c r="D890" s="1"/>
    </row>
    <row r="891" spans="4:4" x14ac:dyDescent="0.2">
      <c r="D891" s="1"/>
    </row>
    <row r="892" spans="4:4" x14ac:dyDescent="0.2">
      <c r="D892" s="1"/>
    </row>
    <row r="893" spans="4:4" x14ac:dyDescent="0.2">
      <c r="D893" s="1"/>
    </row>
    <row r="894" spans="4:4" x14ac:dyDescent="0.2">
      <c r="D894" s="1"/>
    </row>
    <row r="895" spans="4:4" x14ac:dyDescent="0.2">
      <c r="D895" s="1"/>
    </row>
    <row r="896" spans="4:4" x14ac:dyDescent="0.2">
      <c r="D896" s="1"/>
    </row>
    <row r="897" spans="4:4" x14ac:dyDescent="0.2">
      <c r="D897" s="1"/>
    </row>
    <row r="898" spans="4:4" x14ac:dyDescent="0.2">
      <c r="D898" s="1"/>
    </row>
    <row r="899" spans="4:4" x14ac:dyDescent="0.2">
      <c r="D899" s="1"/>
    </row>
    <row r="900" spans="4:4" x14ac:dyDescent="0.2">
      <c r="D900" s="1"/>
    </row>
    <row r="901" spans="4:4" x14ac:dyDescent="0.2">
      <c r="D901" s="1"/>
    </row>
    <row r="902" spans="4:4" x14ac:dyDescent="0.2">
      <c r="D902" s="1"/>
    </row>
    <row r="903" spans="4:4" x14ac:dyDescent="0.2">
      <c r="D903" s="1"/>
    </row>
    <row r="904" spans="4:4" x14ac:dyDescent="0.2">
      <c r="D904" s="1"/>
    </row>
    <row r="905" spans="4:4" x14ac:dyDescent="0.2">
      <c r="D905" s="1"/>
    </row>
    <row r="906" spans="4:4" x14ac:dyDescent="0.2">
      <c r="D906" s="1"/>
    </row>
    <row r="907" spans="4:4" x14ac:dyDescent="0.2">
      <c r="D907" s="1"/>
    </row>
    <row r="908" spans="4:4" x14ac:dyDescent="0.2">
      <c r="D908" s="1"/>
    </row>
    <row r="909" spans="4:4" x14ac:dyDescent="0.2">
      <c r="D909" s="1"/>
    </row>
    <row r="910" spans="4:4" x14ac:dyDescent="0.2">
      <c r="D910" s="1"/>
    </row>
    <row r="911" spans="4:4" x14ac:dyDescent="0.2">
      <c r="D911" s="1"/>
    </row>
    <row r="912" spans="4:4" x14ac:dyDescent="0.2">
      <c r="D912" s="1"/>
    </row>
    <row r="913" spans="4:4" x14ac:dyDescent="0.2">
      <c r="D913" s="1"/>
    </row>
    <row r="914" spans="4:4" x14ac:dyDescent="0.2">
      <c r="D914" s="1"/>
    </row>
    <row r="915" spans="4:4" x14ac:dyDescent="0.2">
      <c r="D915" s="1"/>
    </row>
    <row r="916" spans="4:4" x14ac:dyDescent="0.2">
      <c r="D916" s="1"/>
    </row>
    <row r="917" spans="4:4" x14ac:dyDescent="0.2">
      <c r="D917" s="1"/>
    </row>
    <row r="918" spans="4:4" x14ac:dyDescent="0.2">
      <c r="D918" s="1"/>
    </row>
    <row r="919" spans="4:4" x14ac:dyDescent="0.2">
      <c r="D919" s="1"/>
    </row>
    <row r="920" spans="4:4" x14ac:dyDescent="0.2">
      <c r="D920" s="1"/>
    </row>
    <row r="921" spans="4:4" x14ac:dyDescent="0.2">
      <c r="D921" s="1"/>
    </row>
    <row r="922" spans="4:4" x14ac:dyDescent="0.2">
      <c r="D922" s="1"/>
    </row>
    <row r="923" spans="4:4" x14ac:dyDescent="0.2">
      <c r="D923" s="1"/>
    </row>
    <row r="924" spans="4:4" x14ac:dyDescent="0.2">
      <c r="D924" s="1"/>
    </row>
    <row r="925" spans="4:4" x14ac:dyDescent="0.2">
      <c r="D925" s="1"/>
    </row>
    <row r="926" spans="4:4" x14ac:dyDescent="0.2">
      <c r="D926" s="1"/>
    </row>
    <row r="927" spans="4:4" x14ac:dyDescent="0.2">
      <c r="D927" s="1"/>
    </row>
    <row r="928" spans="4:4" x14ac:dyDescent="0.2">
      <c r="D928" s="1"/>
    </row>
    <row r="929" spans="4:4" x14ac:dyDescent="0.2">
      <c r="D929" s="1"/>
    </row>
    <row r="930" spans="4:4" x14ac:dyDescent="0.2">
      <c r="D930" s="1"/>
    </row>
    <row r="931" spans="4:4" x14ac:dyDescent="0.2">
      <c r="D931" s="1"/>
    </row>
    <row r="932" spans="4:4" x14ac:dyDescent="0.2">
      <c r="D932" s="1"/>
    </row>
    <row r="933" spans="4:4" x14ac:dyDescent="0.2">
      <c r="D933" s="1"/>
    </row>
    <row r="934" spans="4:4" x14ac:dyDescent="0.2">
      <c r="D934" s="1"/>
    </row>
    <row r="935" spans="4:4" x14ac:dyDescent="0.2">
      <c r="D935" s="1"/>
    </row>
    <row r="936" spans="4:4" x14ac:dyDescent="0.2">
      <c r="D936" s="1"/>
    </row>
    <row r="937" spans="4:4" x14ac:dyDescent="0.2">
      <c r="D937" s="1"/>
    </row>
    <row r="938" spans="4:4" x14ac:dyDescent="0.2">
      <c r="D938" s="1"/>
    </row>
    <row r="939" spans="4:4" x14ac:dyDescent="0.2">
      <c r="D939" s="1"/>
    </row>
    <row r="940" spans="4:4" x14ac:dyDescent="0.2">
      <c r="D940" s="1"/>
    </row>
    <row r="941" spans="4:4" x14ac:dyDescent="0.2">
      <c r="D941" s="1"/>
    </row>
    <row r="942" spans="4:4" x14ac:dyDescent="0.2">
      <c r="D942" s="1"/>
    </row>
    <row r="943" spans="4:4" x14ac:dyDescent="0.2">
      <c r="D943" s="1"/>
    </row>
    <row r="944" spans="4:4" x14ac:dyDescent="0.2">
      <c r="D944" s="1"/>
    </row>
    <row r="945" spans="4:4" x14ac:dyDescent="0.2">
      <c r="D945" s="1"/>
    </row>
    <row r="946" spans="4:4" x14ac:dyDescent="0.2">
      <c r="D946" s="1"/>
    </row>
    <row r="947" spans="4:4" x14ac:dyDescent="0.2">
      <c r="D947" s="1"/>
    </row>
    <row r="948" spans="4:4" x14ac:dyDescent="0.2">
      <c r="D948" s="1"/>
    </row>
    <row r="949" spans="4:4" x14ac:dyDescent="0.2">
      <c r="D949" s="1"/>
    </row>
    <row r="950" spans="4:4" x14ac:dyDescent="0.2">
      <c r="D950" s="1"/>
    </row>
    <row r="951" spans="4:4" x14ac:dyDescent="0.2">
      <c r="D951" s="1"/>
    </row>
    <row r="952" spans="4:4" x14ac:dyDescent="0.2">
      <c r="D952" s="1"/>
    </row>
    <row r="953" spans="4:4" x14ac:dyDescent="0.2">
      <c r="D953" s="1"/>
    </row>
    <row r="954" spans="4:4" x14ac:dyDescent="0.2">
      <c r="D954" s="1"/>
    </row>
    <row r="955" spans="4:4" x14ac:dyDescent="0.2">
      <c r="D955" s="1"/>
    </row>
    <row r="956" spans="4:4" x14ac:dyDescent="0.2">
      <c r="D956" s="1"/>
    </row>
    <row r="957" spans="4:4" x14ac:dyDescent="0.2">
      <c r="D957" s="1"/>
    </row>
    <row r="958" spans="4:4" x14ac:dyDescent="0.2">
      <c r="D958" s="1"/>
    </row>
    <row r="959" spans="4:4" x14ac:dyDescent="0.2">
      <c r="D959" s="1"/>
    </row>
    <row r="960" spans="4:4" x14ac:dyDescent="0.2">
      <c r="D960" s="1"/>
    </row>
    <row r="961" spans="4:4" x14ac:dyDescent="0.2">
      <c r="D961" s="1"/>
    </row>
    <row r="962" spans="4:4" x14ac:dyDescent="0.2">
      <c r="D962" s="1"/>
    </row>
    <row r="963" spans="4:4" x14ac:dyDescent="0.2">
      <c r="D963" s="1"/>
    </row>
    <row r="964" spans="4:4" x14ac:dyDescent="0.2">
      <c r="D964" s="1"/>
    </row>
    <row r="965" spans="4:4" x14ac:dyDescent="0.2">
      <c r="D965" s="1"/>
    </row>
    <row r="966" spans="4:4" x14ac:dyDescent="0.2">
      <c r="D966" s="1"/>
    </row>
    <row r="967" spans="4:4" x14ac:dyDescent="0.2">
      <c r="D967" s="1"/>
    </row>
    <row r="968" spans="4:4" x14ac:dyDescent="0.2">
      <c r="D968" s="1"/>
    </row>
    <row r="969" spans="4:4" x14ac:dyDescent="0.2">
      <c r="D969" s="1"/>
    </row>
    <row r="970" spans="4:4" x14ac:dyDescent="0.2">
      <c r="D970" s="1"/>
    </row>
    <row r="971" spans="4:4" x14ac:dyDescent="0.2">
      <c r="D971" s="1"/>
    </row>
    <row r="973" spans="4:4" x14ac:dyDescent="0.2">
      <c r="D973" s="1"/>
    </row>
    <row r="975" spans="4:4" x14ac:dyDescent="0.2">
      <c r="D975" s="1"/>
    </row>
    <row r="976" spans="4:4" x14ac:dyDescent="0.2">
      <c r="D976" s="1"/>
    </row>
    <row r="977" spans="4:4" x14ac:dyDescent="0.2">
      <c r="D977" s="1"/>
    </row>
    <row r="978" spans="4:4" x14ac:dyDescent="0.2">
      <c r="D978" s="1"/>
    </row>
    <row r="979" spans="4:4" x14ac:dyDescent="0.2">
      <c r="D979" s="1"/>
    </row>
    <row r="980" spans="4:4" x14ac:dyDescent="0.2">
      <c r="D980" s="1"/>
    </row>
    <row r="981" spans="4:4" x14ac:dyDescent="0.2">
      <c r="D981" s="1"/>
    </row>
    <row r="982" spans="4:4" x14ac:dyDescent="0.2">
      <c r="D982" s="1"/>
    </row>
    <row r="983" spans="4:4" x14ac:dyDescent="0.2">
      <c r="D983" s="1"/>
    </row>
    <row r="984" spans="4:4" x14ac:dyDescent="0.2">
      <c r="D984" s="1"/>
    </row>
    <row r="985" spans="4:4" x14ac:dyDescent="0.2">
      <c r="D985" s="1"/>
    </row>
    <row r="986" spans="4:4" x14ac:dyDescent="0.2">
      <c r="D986" s="1"/>
    </row>
    <row r="987" spans="4:4" x14ac:dyDescent="0.2">
      <c r="D987" s="1"/>
    </row>
    <row r="988" spans="4:4" x14ac:dyDescent="0.2">
      <c r="D988" s="1"/>
    </row>
    <row r="989" spans="4:4" x14ac:dyDescent="0.2">
      <c r="D989" s="1"/>
    </row>
    <row r="990" spans="4:4" x14ac:dyDescent="0.2">
      <c r="D990" s="1"/>
    </row>
    <row r="991" spans="4:4" x14ac:dyDescent="0.2">
      <c r="D991" s="1"/>
    </row>
    <row r="992" spans="4:4" x14ac:dyDescent="0.2">
      <c r="D992" s="1"/>
    </row>
    <row r="993" spans="4:4" x14ac:dyDescent="0.2">
      <c r="D993" s="1"/>
    </row>
    <row r="994" spans="4:4" x14ac:dyDescent="0.2">
      <c r="D994" s="1"/>
    </row>
    <row r="995" spans="4:4" x14ac:dyDescent="0.2">
      <c r="D995" s="1"/>
    </row>
    <row r="996" spans="4:4" x14ac:dyDescent="0.2">
      <c r="D996" s="1"/>
    </row>
    <row r="997" spans="4:4" x14ac:dyDescent="0.2">
      <c r="D997" s="1"/>
    </row>
    <row r="998" spans="4:4" x14ac:dyDescent="0.2">
      <c r="D998" s="1"/>
    </row>
    <row r="999" spans="4:4" x14ac:dyDescent="0.2">
      <c r="D999" s="1"/>
    </row>
    <row r="1000" spans="4:4" x14ac:dyDescent="0.2">
      <c r="D1000" s="1"/>
    </row>
    <row r="1001" spans="4:4" x14ac:dyDescent="0.2">
      <c r="D1001" s="1"/>
    </row>
    <row r="1002" spans="4:4" x14ac:dyDescent="0.2">
      <c r="D1002" s="1"/>
    </row>
    <row r="1003" spans="4:4" x14ac:dyDescent="0.2">
      <c r="D1003" s="1"/>
    </row>
    <row r="1004" spans="4:4" x14ac:dyDescent="0.2">
      <c r="D1004" s="1"/>
    </row>
    <row r="1005" spans="4:4" x14ac:dyDescent="0.2">
      <c r="D1005" s="1"/>
    </row>
    <row r="1006" spans="4:4" x14ac:dyDescent="0.2">
      <c r="D1006" s="1"/>
    </row>
    <row r="1007" spans="4:4" x14ac:dyDescent="0.2">
      <c r="D1007" s="1"/>
    </row>
    <row r="1008" spans="4:4" x14ac:dyDescent="0.2">
      <c r="D1008" s="1"/>
    </row>
    <row r="1009" spans="4:4" x14ac:dyDescent="0.2">
      <c r="D1009" s="1"/>
    </row>
    <row r="1010" spans="4:4" x14ac:dyDescent="0.2">
      <c r="D1010" s="1"/>
    </row>
    <row r="1011" spans="4:4" x14ac:dyDescent="0.2">
      <c r="D1011" s="1"/>
    </row>
    <row r="1012" spans="4:4" x14ac:dyDescent="0.2">
      <c r="D1012" s="1"/>
    </row>
    <row r="1013" spans="4:4" x14ac:dyDescent="0.2">
      <c r="D1013" s="1"/>
    </row>
    <row r="1014" spans="4:4" x14ac:dyDescent="0.2">
      <c r="D1014" s="1"/>
    </row>
    <row r="1015" spans="4:4" x14ac:dyDescent="0.2">
      <c r="D1015" s="1"/>
    </row>
    <row r="1016" spans="4:4" x14ac:dyDescent="0.2">
      <c r="D1016" s="1"/>
    </row>
    <row r="1017" spans="4:4" x14ac:dyDescent="0.2">
      <c r="D1017" s="1"/>
    </row>
    <row r="1018" spans="4:4" x14ac:dyDescent="0.2">
      <c r="D1018" s="1"/>
    </row>
    <row r="1019" spans="4:4" x14ac:dyDescent="0.2">
      <c r="D1019" s="1"/>
    </row>
    <row r="1020" spans="4:4" x14ac:dyDescent="0.2">
      <c r="D1020" s="1"/>
    </row>
    <row r="1021" spans="4:4" x14ac:dyDescent="0.2">
      <c r="D1021" s="1"/>
    </row>
    <row r="1022" spans="4:4" x14ac:dyDescent="0.2">
      <c r="D1022" s="1"/>
    </row>
    <row r="1023" spans="4:4" x14ac:dyDescent="0.2">
      <c r="D1023" s="1"/>
    </row>
    <row r="1024" spans="4:4" x14ac:dyDescent="0.2">
      <c r="D1024" s="1"/>
    </row>
    <row r="1025" spans="4:4" x14ac:dyDescent="0.2">
      <c r="D1025" s="1"/>
    </row>
    <row r="1026" spans="4:4" x14ac:dyDescent="0.2">
      <c r="D1026" s="1"/>
    </row>
    <row r="1027" spans="4:4" x14ac:dyDescent="0.2">
      <c r="D1027" s="1"/>
    </row>
    <row r="1028" spans="4:4" x14ac:dyDescent="0.2">
      <c r="D1028" s="1"/>
    </row>
    <row r="1029" spans="4:4" x14ac:dyDescent="0.2">
      <c r="D1029" s="1"/>
    </row>
    <row r="1030" spans="4:4" x14ac:dyDescent="0.2">
      <c r="D1030" s="1"/>
    </row>
    <row r="1031" spans="4:4" x14ac:dyDescent="0.2">
      <c r="D1031" s="1"/>
    </row>
    <row r="1032" spans="4:4" x14ac:dyDescent="0.2">
      <c r="D1032" s="1"/>
    </row>
    <row r="1033" spans="4:4" x14ac:dyDescent="0.2">
      <c r="D1033" s="1"/>
    </row>
    <row r="1034" spans="4:4" x14ac:dyDescent="0.2">
      <c r="D1034" s="1"/>
    </row>
    <row r="1035" spans="4:4" x14ac:dyDescent="0.2">
      <c r="D1035" s="1"/>
    </row>
    <row r="1036" spans="4:4" x14ac:dyDescent="0.2">
      <c r="D1036" s="1"/>
    </row>
    <row r="1037" spans="4:4" x14ac:dyDescent="0.2">
      <c r="D1037" s="1"/>
    </row>
    <row r="1038" spans="4:4" x14ac:dyDescent="0.2">
      <c r="D1038" s="1"/>
    </row>
    <row r="1039" spans="4:4" x14ac:dyDescent="0.2">
      <c r="D1039" s="1"/>
    </row>
    <row r="1040" spans="4:4" x14ac:dyDescent="0.2">
      <c r="D1040" s="1"/>
    </row>
    <row r="1041" spans="4:4" x14ac:dyDescent="0.2">
      <c r="D1041" s="1"/>
    </row>
    <row r="1042" spans="4:4" x14ac:dyDescent="0.2">
      <c r="D1042" s="1"/>
    </row>
    <row r="1043" spans="4:4" x14ac:dyDescent="0.2">
      <c r="D1043" s="1"/>
    </row>
    <row r="1044" spans="4:4" x14ac:dyDescent="0.2">
      <c r="D1044" s="1"/>
    </row>
    <row r="1045" spans="4:4" x14ac:dyDescent="0.2">
      <c r="D1045" s="1"/>
    </row>
    <row r="1046" spans="4:4" x14ac:dyDescent="0.2">
      <c r="D1046" s="1"/>
    </row>
    <row r="1047" spans="4:4" x14ac:dyDescent="0.2">
      <c r="D1047" s="1"/>
    </row>
    <row r="1048" spans="4:4" x14ac:dyDescent="0.2">
      <c r="D1048" s="1"/>
    </row>
    <row r="1049" spans="4:4" x14ac:dyDescent="0.2">
      <c r="D1049" s="1"/>
    </row>
    <row r="1050" spans="4:4" x14ac:dyDescent="0.2">
      <c r="D1050" s="1"/>
    </row>
    <row r="1051" spans="4:4" x14ac:dyDescent="0.2">
      <c r="D1051" s="1"/>
    </row>
    <row r="1052" spans="4:4" x14ac:dyDescent="0.2">
      <c r="D1052" s="1"/>
    </row>
    <row r="1053" spans="4:4" x14ac:dyDescent="0.2">
      <c r="D1053" s="1"/>
    </row>
    <row r="1054" spans="4:4" x14ac:dyDescent="0.2">
      <c r="D1054" s="1"/>
    </row>
    <row r="1055" spans="4:4" x14ac:dyDescent="0.2">
      <c r="D1055" s="1"/>
    </row>
    <row r="1056" spans="4:4" x14ac:dyDescent="0.2">
      <c r="D1056" s="1"/>
    </row>
    <row r="1057" spans="4:4" x14ac:dyDescent="0.2">
      <c r="D1057" s="1"/>
    </row>
    <row r="1058" spans="4:4" x14ac:dyDescent="0.2">
      <c r="D1058" s="1"/>
    </row>
    <row r="1059" spans="4:4" x14ac:dyDescent="0.2">
      <c r="D1059" s="1"/>
    </row>
    <row r="1060" spans="4:4" x14ac:dyDescent="0.2">
      <c r="D1060" s="1"/>
    </row>
    <row r="1061" spans="4:4" x14ac:dyDescent="0.2">
      <c r="D1061" s="1"/>
    </row>
    <row r="1062" spans="4:4" x14ac:dyDescent="0.2">
      <c r="D1062" s="1"/>
    </row>
    <row r="1063" spans="4:4" x14ac:dyDescent="0.2">
      <c r="D1063" s="1"/>
    </row>
    <row r="1064" spans="4:4" x14ac:dyDescent="0.2">
      <c r="D1064" s="1"/>
    </row>
    <row r="1065" spans="4:4" x14ac:dyDescent="0.2">
      <c r="D1065" s="1"/>
    </row>
    <row r="1066" spans="4:4" x14ac:dyDescent="0.2">
      <c r="D1066" s="1"/>
    </row>
    <row r="1067" spans="4:4" x14ac:dyDescent="0.2">
      <c r="D1067" s="1"/>
    </row>
    <row r="1068" spans="4:4" x14ac:dyDescent="0.2">
      <c r="D1068" s="1"/>
    </row>
    <row r="1069" spans="4:4" x14ac:dyDescent="0.2">
      <c r="D1069" s="1"/>
    </row>
    <row r="1070" spans="4:4" x14ac:dyDescent="0.2">
      <c r="D1070" s="1"/>
    </row>
    <row r="1071" spans="4:4" x14ac:dyDescent="0.2">
      <c r="D1071" s="1"/>
    </row>
    <row r="1072" spans="4:4" x14ac:dyDescent="0.2">
      <c r="D1072" s="1"/>
    </row>
    <row r="1073" spans="4:4" x14ac:dyDescent="0.2">
      <c r="D1073" s="1"/>
    </row>
    <row r="1074" spans="4:4" x14ac:dyDescent="0.2">
      <c r="D1074" s="1"/>
    </row>
    <row r="1075" spans="4:4" x14ac:dyDescent="0.2">
      <c r="D1075" s="1"/>
    </row>
    <row r="1076" spans="4:4" x14ac:dyDescent="0.2">
      <c r="D1076" s="1"/>
    </row>
    <row r="1077" spans="4:4" x14ac:dyDescent="0.2">
      <c r="D1077" s="1"/>
    </row>
    <row r="1078" spans="4:4" x14ac:dyDescent="0.2">
      <c r="D1078" s="1"/>
    </row>
    <row r="1079" spans="4:4" x14ac:dyDescent="0.2">
      <c r="D1079" s="1"/>
    </row>
    <row r="1080" spans="4:4" x14ac:dyDescent="0.2">
      <c r="D1080" s="1"/>
    </row>
    <row r="1081" spans="4:4" x14ac:dyDescent="0.2">
      <c r="D1081" s="1"/>
    </row>
    <row r="1082" spans="4:4" x14ac:dyDescent="0.2">
      <c r="D1082" s="1"/>
    </row>
    <row r="1083" spans="4:4" x14ac:dyDescent="0.2">
      <c r="D1083" s="1"/>
    </row>
    <row r="1084" spans="4:4" x14ac:dyDescent="0.2">
      <c r="D1084" s="1"/>
    </row>
    <row r="1085" spans="4:4" x14ac:dyDescent="0.2">
      <c r="D1085" s="1"/>
    </row>
    <row r="1086" spans="4:4" x14ac:dyDescent="0.2">
      <c r="D1086" s="1"/>
    </row>
    <row r="1087" spans="4:4" x14ac:dyDescent="0.2">
      <c r="D1087" s="1"/>
    </row>
    <row r="1088" spans="4:4" x14ac:dyDescent="0.2">
      <c r="D1088" s="1"/>
    </row>
    <row r="1089" spans="4:4" x14ac:dyDescent="0.2">
      <c r="D1089" s="1"/>
    </row>
    <row r="1090" spans="4:4" x14ac:dyDescent="0.2">
      <c r="D1090" s="1"/>
    </row>
    <row r="1091" spans="4:4" x14ac:dyDescent="0.2">
      <c r="D1091" s="1"/>
    </row>
    <row r="1092" spans="4:4" x14ac:dyDescent="0.2">
      <c r="D1092" s="1"/>
    </row>
    <row r="1093" spans="4:4" x14ac:dyDescent="0.2">
      <c r="D1093" s="1"/>
    </row>
    <row r="1094" spans="4:4" x14ac:dyDescent="0.2">
      <c r="D1094" s="1"/>
    </row>
    <row r="1095" spans="4:4" x14ac:dyDescent="0.2">
      <c r="D1095" s="1"/>
    </row>
    <row r="1096" spans="4:4" x14ac:dyDescent="0.2">
      <c r="D1096" s="1"/>
    </row>
    <row r="1097" spans="4:4" x14ac:dyDescent="0.2">
      <c r="D1097" s="1"/>
    </row>
    <row r="1099" spans="4:4" x14ac:dyDescent="0.2">
      <c r="D1099" s="1"/>
    </row>
    <row r="1100" spans="4:4" x14ac:dyDescent="0.2">
      <c r="D1100" s="1"/>
    </row>
    <row r="1101" spans="4:4" x14ac:dyDescent="0.2">
      <c r="D1101" s="1"/>
    </row>
    <row r="1102" spans="4:4" x14ac:dyDescent="0.2">
      <c r="D1102" s="1"/>
    </row>
    <row r="1103" spans="4:4" x14ac:dyDescent="0.2">
      <c r="D1103" s="1"/>
    </row>
    <row r="1104" spans="4:4" x14ac:dyDescent="0.2">
      <c r="D1104" s="1"/>
    </row>
    <row r="1105" spans="4:4" x14ac:dyDescent="0.2">
      <c r="D1105" s="1"/>
    </row>
    <row r="1106" spans="4:4" x14ac:dyDescent="0.2">
      <c r="D1106" s="1"/>
    </row>
    <row r="1107" spans="4:4" x14ac:dyDescent="0.2">
      <c r="D1107" s="1"/>
    </row>
    <row r="1108" spans="4:4" x14ac:dyDescent="0.2">
      <c r="D1108" s="1"/>
    </row>
    <row r="1109" spans="4:4" x14ac:dyDescent="0.2">
      <c r="D1109" s="1"/>
    </row>
    <row r="1110" spans="4:4" x14ac:dyDescent="0.2">
      <c r="D1110" s="1"/>
    </row>
    <row r="1111" spans="4:4" x14ac:dyDescent="0.2">
      <c r="D1111" s="1"/>
    </row>
    <row r="1113" spans="4:4" x14ac:dyDescent="0.2">
      <c r="D1113" s="1"/>
    </row>
    <row r="1114" spans="4:4" x14ac:dyDescent="0.2">
      <c r="D1114" s="1"/>
    </row>
    <row r="1115" spans="4:4" x14ac:dyDescent="0.2">
      <c r="D1115" s="1"/>
    </row>
    <row r="1116" spans="4:4" x14ac:dyDescent="0.2">
      <c r="D1116" s="1"/>
    </row>
    <row r="1117" spans="4:4" x14ac:dyDescent="0.2">
      <c r="D1117" s="1"/>
    </row>
    <row r="1118" spans="4:4" x14ac:dyDescent="0.2">
      <c r="D1118" s="1"/>
    </row>
    <row r="1119" spans="4:4" x14ac:dyDescent="0.2">
      <c r="D1119" s="1"/>
    </row>
    <row r="1120" spans="4:4" x14ac:dyDescent="0.2">
      <c r="D1120" s="1"/>
    </row>
    <row r="1121" spans="4:4" x14ac:dyDescent="0.2">
      <c r="D1121" s="1"/>
    </row>
    <row r="1125" spans="4:4" x14ac:dyDescent="0.2">
      <c r="D1125" s="1"/>
    </row>
    <row r="1127" spans="4:4" x14ac:dyDescent="0.2">
      <c r="D1127" s="1"/>
    </row>
    <row r="1129" spans="4:4" x14ac:dyDescent="0.2">
      <c r="D1129" s="1"/>
    </row>
    <row r="1130" spans="4:4" x14ac:dyDescent="0.2">
      <c r="D1130" s="1"/>
    </row>
    <row r="1131" spans="4:4" x14ac:dyDescent="0.2">
      <c r="D1131" s="1"/>
    </row>
    <row r="1133" spans="4:4" x14ac:dyDescent="0.2">
      <c r="D1133" s="1"/>
    </row>
    <row r="1134" spans="4:4" x14ac:dyDescent="0.2">
      <c r="D1134" s="1"/>
    </row>
    <row r="1135" spans="4:4" x14ac:dyDescent="0.2">
      <c r="D1135" s="1"/>
    </row>
    <row r="1138" spans="4:4" x14ac:dyDescent="0.2">
      <c r="D1138" s="1"/>
    </row>
    <row r="1139" spans="4:4" x14ac:dyDescent="0.2">
      <c r="D1139" s="1"/>
    </row>
    <row r="1142" spans="4:4" x14ac:dyDescent="0.2">
      <c r="D1142" s="1"/>
    </row>
    <row r="1151" spans="4:4" x14ac:dyDescent="0.2">
      <c r="D1151" s="1"/>
    </row>
    <row r="1153" spans="4:4" x14ac:dyDescent="0.2">
      <c r="D1153" s="1"/>
    </row>
    <row r="1418" spans="4:4" x14ac:dyDescent="0.2">
      <c r="D1418" s="1"/>
    </row>
    <row r="1421" spans="4:4" x14ac:dyDescent="0.2">
      <c r="D1421" s="1"/>
    </row>
    <row r="1422" spans="4:4" x14ac:dyDescent="0.2">
      <c r="D1422" s="1"/>
    </row>
    <row r="1423" spans="4:4" x14ac:dyDescent="0.2">
      <c r="D1423" s="1"/>
    </row>
    <row r="1425" spans="4:4" x14ac:dyDescent="0.2">
      <c r="D1425" s="1"/>
    </row>
    <row r="1432" spans="4:4" x14ac:dyDescent="0.2">
      <c r="D1432" s="1"/>
    </row>
    <row r="1438" spans="4:4" x14ac:dyDescent="0.2">
      <c r="D1438" s="1"/>
    </row>
    <row r="1446" spans="4:4" x14ac:dyDescent="0.2">
      <c r="D1446" s="1"/>
    </row>
    <row r="1451" spans="4:4" x14ac:dyDescent="0.2">
      <c r="D1451" s="1"/>
    </row>
    <row r="1452" spans="4:4" x14ac:dyDescent="0.2">
      <c r="D1452" s="1"/>
    </row>
    <row r="1460" spans="4:4" x14ac:dyDescent="0.2">
      <c r="D1460" s="1"/>
    </row>
    <row r="1461" spans="4:4" x14ac:dyDescent="0.2">
      <c r="D1461" s="1"/>
    </row>
    <row r="1463" spans="4:4" x14ac:dyDescent="0.2">
      <c r="D1463" s="1"/>
    </row>
    <row r="1464" spans="4:4" x14ac:dyDescent="0.2">
      <c r="D1464" s="1"/>
    </row>
    <row r="1465" spans="4:4" x14ac:dyDescent="0.2">
      <c r="D1465" s="1"/>
    </row>
    <row r="1467" spans="4:4" x14ac:dyDescent="0.2">
      <c r="D1467" s="1"/>
    </row>
    <row r="1469" spans="4:4" x14ac:dyDescent="0.2">
      <c r="D1469" s="1"/>
    </row>
    <row r="1470" spans="4:4" x14ac:dyDescent="0.2">
      <c r="D1470" s="1"/>
    </row>
    <row r="1471" spans="4:4" x14ac:dyDescent="0.2">
      <c r="D1471" s="1"/>
    </row>
    <row r="1472" spans="4:4" x14ac:dyDescent="0.2">
      <c r="D1472" s="1"/>
    </row>
    <row r="1473" spans="4:4" x14ac:dyDescent="0.2">
      <c r="D1473" s="1"/>
    </row>
    <row r="1474" spans="4:4" x14ac:dyDescent="0.2">
      <c r="D1474" s="1"/>
    </row>
    <row r="1476" spans="4:4" x14ac:dyDescent="0.2">
      <c r="D1476" s="1"/>
    </row>
    <row r="1477" spans="4:4" x14ac:dyDescent="0.2">
      <c r="D1477" s="1"/>
    </row>
    <row r="1479" spans="4:4" x14ac:dyDescent="0.2">
      <c r="D1479" s="1"/>
    </row>
    <row r="1480" spans="4:4" x14ac:dyDescent="0.2">
      <c r="D1480" s="1"/>
    </row>
    <row r="1481" spans="4:4" x14ac:dyDescent="0.2">
      <c r="D1481" s="1"/>
    </row>
    <row r="1482" spans="4:4" x14ac:dyDescent="0.2">
      <c r="D1482" s="1"/>
    </row>
    <row r="1483" spans="4:4" x14ac:dyDescent="0.2">
      <c r="D1483" s="1"/>
    </row>
    <row r="1484" spans="4:4" x14ac:dyDescent="0.2">
      <c r="D1484" s="1"/>
    </row>
    <row r="1485" spans="4:4" x14ac:dyDescent="0.2">
      <c r="D1485" s="1"/>
    </row>
    <row r="1486" spans="4:4" x14ac:dyDescent="0.2">
      <c r="D1486" s="1"/>
    </row>
    <row r="1487" spans="4:4" x14ac:dyDescent="0.2">
      <c r="D1487" s="1"/>
    </row>
    <row r="1488" spans="4:4" x14ac:dyDescent="0.2">
      <c r="D1488" s="1"/>
    </row>
    <row r="1489" spans="4:4" x14ac:dyDescent="0.2">
      <c r="D1489" s="1"/>
    </row>
    <row r="1490" spans="4:4" x14ac:dyDescent="0.2">
      <c r="D1490" s="1"/>
    </row>
    <row r="1491" spans="4:4" x14ac:dyDescent="0.2">
      <c r="D1491" s="1"/>
    </row>
    <row r="1492" spans="4:4" x14ac:dyDescent="0.2">
      <c r="D1492" s="1"/>
    </row>
    <row r="1493" spans="4:4" x14ac:dyDescent="0.2">
      <c r="D1493" s="1"/>
    </row>
    <row r="1494" spans="4:4" x14ac:dyDescent="0.2">
      <c r="D1494" s="1"/>
    </row>
    <row r="1495" spans="4:4" x14ac:dyDescent="0.2">
      <c r="D1495" s="1"/>
    </row>
    <row r="1496" spans="4:4" x14ac:dyDescent="0.2">
      <c r="D1496" s="1"/>
    </row>
    <row r="1497" spans="4:4" x14ac:dyDescent="0.2">
      <c r="D1497" s="1"/>
    </row>
    <row r="1498" spans="4:4" x14ac:dyDescent="0.2">
      <c r="D1498" s="1"/>
    </row>
    <row r="1499" spans="4:4" x14ac:dyDescent="0.2">
      <c r="D1499" s="1"/>
    </row>
    <row r="1500" spans="4:4" x14ac:dyDescent="0.2">
      <c r="D1500" s="1"/>
    </row>
    <row r="1501" spans="4:4" x14ac:dyDescent="0.2">
      <c r="D1501" s="1"/>
    </row>
    <row r="1502" spans="4:4" x14ac:dyDescent="0.2">
      <c r="D1502" s="1"/>
    </row>
    <row r="1503" spans="4:4" x14ac:dyDescent="0.2">
      <c r="D1503" s="1"/>
    </row>
    <row r="1504" spans="4:4" x14ac:dyDescent="0.2">
      <c r="D1504" s="1"/>
    </row>
    <row r="1505" spans="4:4" x14ac:dyDescent="0.2">
      <c r="D1505" s="1"/>
    </row>
    <row r="1506" spans="4:4" x14ac:dyDescent="0.2">
      <c r="D1506" s="1"/>
    </row>
    <row r="1507" spans="4:4" x14ac:dyDescent="0.2">
      <c r="D1507" s="1"/>
    </row>
    <row r="1508" spans="4:4" x14ac:dyDescent="0.2">
      <c r="D1508" s="1"/>
    </row>
    <row r="1509" spans="4:4" x14ac:dyDescent="0.2">
      <c r="D1509" s="1"/>
    </row>
    <row r="1510" spans="4:4" x14ac:dyDescent="0.2">
      <c r="D1510" s="1"/>
    </row>
    <row r="1511" spans="4:4" x14ac:dyDescent="0.2">
      <c r="D1511" s="1"/>
    </row>
    <row r="1512" spans="4:4" x14ac:dyDescent="0.2">
      <c r="D1512" s="1"/>
    </row>
    <row r="1513" spans="4:4" x14ac:dyDescent="0.2">
      <c r="D1513" s="1"/>
    </row>
    <row r="1514" spans="4:4" x14ac:dyDescent="0.2">
      <c r="D1514" s="1"/>
    </row>
    <row r="1515" spans="4:4" x14ac:dyDescent="0.2">
      <c r="D1515" s="1"/>
    </row>
    <row r="1516" spans="4:4" x14ac:dyDescent="0.2">
      <c r="D1516" s="1"/>
    </row>
    <row r="1517" spans="4:4" x14ac:dyDescent="0.2">
      <c r="D1517" s="1"/>
    </row>
    <row r="1518" spans="4:4" x14ac:dyDescent="0.2">
      <c r="D1518" s="1"/>
    </row>
    <row r="1519" spans="4:4" x14ac:dyDescent="0.2">
      <c r="D1519" s="1"/>
    </row>
    <row r="1520" spans="4:4" x14ac:dyDescent="0.2">
      <c r="D1520" s="1"/>
    </row>
    <row r="1521" spans="4:4" x14ac:dyDescent="0.2">
      <c r="D1521" s="1"/>
    </row>
    <row r="1522" spans="4:4" x14ac:dyDescent="0.2">
      <c r="D1522" s="1"/>
    </row>
    <row r="1523" spans="4:4" x14ac:dyDescent="0.2">
      <c r="D1523" s="1"/>
    </row>
    <row r="1524" spans="4:4" x14ac:dyDescent="0.2">
      <c r="D1524" s="1"/>
    </row>
    <row r="1525" spans="4:4" x14ac:dyDescent="0.2">
      <c r="D1525" s="1"/>
    </row>
    <row r="1526" spans="4:4" x14ac:dyDescent="0.2">
      <c r="D1526" s="1"/>
    </row>
    <row r="1527" spans="4:4" x14ac:dyDescent="0.2">
      <c r="D1527" s="1"/>
    </row>
    <row r="1528" spans="4:4" x14ac:dyDescent="0.2">
      <c r="D1528" s="1"/>
    </row>
    <row r="1529" spans="4:4" x14ac:dyDescent="0.2">
      <c r="D1529" s="1"/>
    </row>
    <row r="1530" spans="4:4" x14ac:dyDescent="0.2">
      <c r="D1530" s="1"/>
    </row>
    <row r="1531" spans="4:4" x14ac:dyDescent="0.2">
      <c r="D1531" s="1"/>
    </row>
    <row r="1532" spans="4:4" x14ac:dyDescent="0.2">
      <c r="D1532" s="1"/>
    </row>
    <row r="1533" spans="4:4" x14ac:dyDescent="0.2">
      <c r="D1533" s="1"/>
    </row>
    <row r="1534" spans="4:4" x14ac:dyDescent="0.2">
      <c r="D1534" s="1"/>
    </row>
    <row r="1535" spans="4:4" x14ac:dyDescent="0.2">
      <c r="D1535" s="1"/>
    </row>
    <row r="1536" spans="4:4" x14ac:dyDescent="0.2">
      <c r="D1536" s="1"/>
    </row>
    <row r="1537" spans="4:4" x14ac:dyDescent="0.2">
      <c r="D1537" s="1"/>
    </row>
    <row r="1538" spans="4:4" x14ac:dyDescent="0.2">
      <c r="D1538" s="1"/>
    </row>
    <row r="1539" spans="4:4" x14ac:dyDescent="0.2">
      <c r="D1539" s="1"/>
    </row>
    <row r="1540" spans="4:4" x14ac:dyDescent="0.2">
      <c r="D1540" s="1"/>
    </row>
    <row r="1541" spans="4:4" x14ac:dyDescent="0.2">
      <c r="D1541" s="1"/>
    </row>
    <row r="1542" spans="4:4" x14ac:dyDescent="0.2">
      <c r="D1542" s="1"/>
    </row>
    <row r="1543" spans="4:4" x14ac:dyDescent="0.2">
      <c r="D1543" s="1"/>
    </row>
    <row r="1544" spans="4:4" x14ac:dyDescent="0.2">
      <c r="D1544" s="1"/>
    </row>
    <row r="1545" spans="4:4" x14ac:dyDescent="0.2">
      <c r="D1545" s="1"/>
    </row>
    <row r="1546" spans="4:4" x14ac:dyDescent="0.2">
      <c r="D1546" s="1"/>
    </row>
    <row r="1547" spans="4:4" x14ac:dyDescent="0.2">
      <c r="D1547" s="1"/>
    </row>
    <row r="1548" spans="4:4" x14ac:dyDescent="0.2">
      <c r="D1548" s="1"/>
    </row>
    <row r="1549" spans="4:4" x14ac:dyDescent="0.2">
      <c r="D1549" s="1"/>
    </row>
    <row r="1550" spans="4:4" x14ac:dyDescent="0.2">
      <c r="D1550" s="1"/>
    </row>
    <row r="1551" spans="4:4" x14ac:dyDescent="0.2">
      <c r="D1551" s="1"/>
    </row>
    <row r="1552" spans="4:4" x14ac:dyDescent="0.2">
      <c r="D1552" s="1"/>
    </row>
    <row r="1553" spans="4:4" x14ac:dyDescent="0.2">
      <c r="D1553" s="1"/>
    </row>
    <row r="1554" spans="4:4" x14ac:dyDescent="0.2">
      <c r="D1554" s="1"/>
    </row>
    <row r="1555" spans="4:4" x14ac:dyDescent="0.2">
      <c r="D1555" s="1"/>
    </row>
    <row r="1556" spans="4:4" x14ac:dyDescent="0.2">
      <c r="D1556" s="1"/>
    </row>
    <row r="1557" spans="4:4" x14ac:dyDescent="0.2">
      <c r="D1557" s="1"/>
    </row>
    <row r="1558" spans="4:4" x14ac:dyDescent="0.2">
      <c r="D1558" s="1"/>
    </row>
    <row r="1559" spans="4:4" x14ac:dyDescent="0.2">
      <c r="D1559" s="1"/>
    </row>
    <row r="1560" spans="4:4" x14ac:dyDescent="0.2">
      <c r="D1560" s="1"/>
    </row>
    <row r="1561" spans="4:4" x14ac:dyDescent="0.2">
      <c r="D1561" s="1"/>
    </row>
    <row r="1562" spans="4:4" x14ac:dyDescent="0.2">
      <c r="D1562" s="1"/>
    </row>
    <row r="1563" spans="4:4" x14ac:dyDescent="0.2">
      <c r="D1563" s="1"/>
    </row>
    <row r="1564" spans="4:4" x14ac:dyDescent="0.2">
      <c r="D1564" s="1"/>
    </row>
    <row r="1565" spans="4:4" x14ac:dyDescent="0.2">
      <c r="D1565" s="1"/>
    </row>
    <row r="1566" spans="4:4" x14ac:dyDescent="0.2">
      <c r="D1566" s="1"/>
    </row>
    <row r="1567" spans="4:4" x14ac:dyDescent="0.2">
      <c r="D1567" s="1"/>
    </row>
    <row r="1568" spans="4:4" x14ac:dyDescent="0.2">
      <c r="D1568" s="1"/>
    </row>
    <row r="1569" spans="4:4" x14ac:dyDescent="0.2">
      <c r="D1569" s="1"/>
    </row>
    <row r="1570" spans="4:4" x14ac:dyDescent="0.2">
      <c r="D1570" s="1"/>
    </row>
    <row r="1571" spans="4:4" x14ac:dyDescent="0.2">
      <c r="D1571" s="1"/>
    </row>
    <row r="1572" spans="4:4" x14ac:dyDescent="0.2">
      <c r="D1572" s="1"/>
    </row>
    <row r="1573" spans="4:4" x14ac:dyDescent="0.2">
      <c r="D1573" s="1"/>
    </row>
    <row r="1574" spans="4:4" x14ac:dyDescent="0.2">
      <c r="D1574" s="1"/>
    </row>
    <row r="1575" spans="4:4" x14ac:dyDescent="0.2">
      <c r="D1575" s="1"/>
    </row>
    <row r="1576" spans="4:4" x14ac:dyDescent="0.2">
      <c r="D1576" s="1"/>
    </row>
    <row r="1577" spans="4:4" x14ac:dyDescent="0.2">
      <c r="D1577" s="1"/>
    </row>
    <row r="1578" spans="4:4" x14ac:dyDescent="0.2">
      <c r="D1578" s="1"/>
    </row>
    <row r="1579" spans="4:4" x14ac:dyDescent="0.2">
      <c r="D1579" s="1"/>
    </row>
    <row r="1580" spans="4:4" x14ac:dyDescent="0.2">
      <c r="D1580" s="1"/>
    </row>
    <row r="1581" spans="4:4" x14ac:dyDescent="0.2">
      <c r="D1581" s="1"/>
    </row>
    <row r="1582" spans="4:4" x14ac:dyDescent="0.2">
      <c r="D1582" s="1"/>
    </row>
    <row r="1583" spans="4:4" x14ac:dyDescent="0.2">
      <c r="D1583" s="1"/>
    </row>
    <row r="1584" spans="4:4" x14ac:dyDescent="0.2">
      <c r="D1584" s="1"/>
    </row>
    <row r="1585" spans="4:4" x14ac:dyDescent="0.2">
      <c r="D1585" s="1"/>
    </row>
    <row r="1586" spans="4:4" x14ac:dyDescent="0.2">
      <c r="D1586" s="1"/>
    </row>
    <row r="1587" spans="4:4" x14ac:dyDescent="0.2">
      <c r="D1587" s="1"/>
    </row>
    <row r="1588" spans="4:4" x14ac:dyDescent="0.2">
      <c r="D1588" s="1"/>
    </row>
    <row r="1589" spans="4:4" x14ac:dyDescent="0.2">
      <c r="D1589" s="1"/>
    </row>
    <row r="1590" spans="4:4" x14ac:dyDescent="0.2">
      <c r="D1590" s="1"/>
    </row>
    <row r="1591" spans="4:4" x14ac:dyDescent="0.2">
      <c r="D1591" s="1"/>
    </row>
    <row r="1592" spans="4:4" x14ac:dyDescent="0.2">
      <c r="D1592" s="1"/>
    </row>
    <row r="1593" spans="4:4" x14ac:dyDescent="0.2">
      <c r="D1593" s="1"/>
    </row>
    <row r="1594" spans="4:4" x14ac:dyDescent="0.2">
      <c r="D1594" s="1"/>
    </row>
    <row r="1595" spans="4:4" x14ac:dyDescent="0.2">
      <c r="D1595" s="1"/>
    </row>
    <row r="1596" spans="4:4" x14ac:dyDescent="0.2">
      <c r="D1596" s="1"/>
    </row>
    <row r="1597" spans="4:4" x14ac:dyDescent="0.2">
      <c r="D1597" s="1"/>
    </row>
    <row r="1598" spans="4:4" x14ac:dyDescent="0.2">
      <c r="D1598" s="1"/>
    </row>
    <row r="1599" spans="4:4" x14ac:dyDescent="0.2">
      <c r="D1599" s="1"/>
    </row>
    <row r="1600" spans="4:4" x14ac:dyDescent="0.2">
      <c r="D1600" s="1"/>
    </row>
    <row r="1601" spans="4:4" x14ac:dyDescent="0.2">
      <c r="D1601" s="1"/>
    </row>
    <row r="1602" spans="4:4" x14ac:dyDescent="0.2">
      <c r="D1602" s="1"/>
    </row>
    <row r="1603" spans="4:4" x14ac:dyDescent="0.2">
      <c r="D1603" s="1"/>
    </row>
    <row r="1604" spans="4:4" x14ac:dyDescent="0.2">
      <c r="D1604" s="1"/>
    </row>
    <row r="1605" spans="4:4" x14ac:dyDescent="0.2">
      <c r="D1605" s="1"/>
    </row>
    <row r="1606" spans="4:4" x14ac:dyDescent="0.2">
      <c r="D1606" s="1"/>
    </row>
    <row r="1610" spans="4:4" x14ac:dyDescent="0.2">
      <c r="D1610" s="1"/>
    </row>
    <row r="1611" spans="4:4" x14ac:dyDescent="0.2">
      <c r="D1611" s="1"/>
    </row>
    <row r="1612" spans="4:4" x14ac:dyDescent="0.2">
      <c r="D1612" s="1"/>
    </row>
    <row r="1613" spans="4:4" x14ac:dyDescent="0.2">
      <c r="D1613" s="1"/>
    </row>
    <row r="1614" spans="4:4" x14ac:dyDescent="0.2">
      <c r="D1614" s="1"/>
    </row>
    <row r="1615" spans="4:4" x14ac:dyDescent="0.2">
      <c r="D1615" s="1"/>
    </row>
    <row r="1616" spans="4:4" x14ac:dyDescent="0.2">
      <c r="D1616" s="1"/>
    </row>
    <row r="1617" spans="4:4" x14ac:dyDescent="0.2">
      <c r="D1617" s="1"/>
    </row>
    <row r="1618" spans="4:4" x14ac:dyDescent="0.2">
      <c r="D1618" s="1"/>
    </row>
    <row r="1619" spans="4:4" x14ac:dyDescent="0.2">
      <c r="D1619" s="1"/>
    </row>
    <row r="1620" spans="4:4" x14ac:dyDescent="0.2">
      <c r="D1620" s="1"/>
    </row>
    <row r="1621" spans="4:4" x14ac:dyDescent="0.2">
      <c r="D1621" s="1"/>
    </row>
    <row r="1622" spans="4:4" x14ac:dyDescent="0.2">
      <c r="D1622" s="1"/>
    </row>
    <row r="1623" spans="4:4" x14ac:dyDescent="0.2">
      <c r="D1623" s="1"/>
    </row>
    <row r="1624" spans="4:4" x14ac:dyDescent="0.2">
      <c r="D1624" s="1"/>
    </row>
    <row r="1625" spans="4:4" x14ac:dyDescent="0.2">
      <c r="D1625" s="1"/>
    </row>
    <row r="1626" spans="4:4" x14ac:dyDescent="0.2">
      <c r="D1626" s="1"/>
    </row>
    <row r="1627" spans="4:4" x14ac:dyDescent="0.2">
      <c r="D1627" s="1"/>
    </row>
    <row r="1628" spans="4:4" x14ac:dyDescent="0.2">
      <c r="D1628" s="1"/>
    </row>
    <row r="1629" spans="4:4" x14ac:dyDescent="0.2">
      <c r="D1629" s="1"/>
    </row>
    <row r="1630" spans="4:4" x14ac:dyDescent="0.2">
      <c r="D1630" s="1"/>
    </row>
    <row r="1631" spans="4:4" x14ac:dyDescent="0.2">
      <c r="D1631" s="1"/>
    </row>
    <row r="1632" spans="4:4" x14ac:dyDescent="0.2">
      <c r="D1632" s="1"/>
    </row>
    <row r="1633" spans="4:4" x14ac:dyDescent="0.2">
      <c r="D1633" s="1"/>
    </row>
    <row r="1634" spans="4:4" x14ac:dyDescent="0.2">
      <c r="D1634" s="1"/>
    </row>
    <row r="1635" spans="4:4" x14ac:dyDescent="0.2">
      <c r="D1635" s="1"/>
    </row>
    <row r="1636" spans="4:4" x14ac:dyDescent="0.2">
      <c r="D1636" s="1"/>
    </row>
    <row r="1637" spans="4:4" x14ac:dyDescent="0.2">
      <c r="D1637" s="1"/>
    </row>
    <row r="1638" spans="4:4" x14ac:dyDescent="0.2">
      <c r="D1638" s="1"/>
    </row>
    <row r="1639" spans="4:4" x14ac:dyDescent="0.2">
      <c r="D1639" s="1"/>
    </row>
    <row r="1640" spans="4:4" x14ac:dyDescent="0.2">
      <c r="D1640" s="1"/>
    </row>
    <row r="1641" spans="4:4" x14ac:dyDescent="0.2">
      <c r="D1641" s="1"/>
    </row>
    <row r="1642" spans="4:4" x14ac:dyDescent="0.2">
      <c r="D1642" s="1"/>
    </row>
    <row r="1643" spans="4:4" x14ac:dyDescent="0.2">
      <c r="D1643" s="1"/>
    </row>
    <row r="1644" spans="4:4" x14ac:dyDescent="0.2">
      <c r="D1644" s="1"/>
    </row>
    <row r="1645" spans="4:4" x14ac:dyDescent="0.2">
      <c r="D1645" s="1"/>
    </row>
    <row r="1646" spans="4:4" x14ac:dyDescent="0.2">
      <c r="D1646" s="1"/>
    </row>
    <row r="1647" spans="4:4" x14ac:dyDescent="0.2">
      <c r="D1647" s="1"/>
    </row>
    <row r="1648" spans="4:4" x14ac:dyDescent="0.2">
      <c r="D1648" s="1"/>
    </row>
    <row r="1649" spans="4:4" x14ac:dyDescent="0.2">
      <c r="D1649" s="1"/>
    </row>
    <row r="1650" spans="4:4" x14ac:dyDescent="0.2">
      <c r="D1650" s="1"/>
    </row>
    <row r="1651" spans="4:4" x14ac:dyDescent="0.2">
      <c r="D1651" s="1"/>
    </row>
    <row r="1652" spans="4:4" x14ac:dyDescent="0.2">
      <c r="D1652" s="1"/>
    </row>
    <row r="1653" spans="4:4" x14ac:dyDescent="0.2">
      <c r="D1653" s="1"/>
    </row>
    <row r="1654" spans="4:4" x14ac:dyDescent="0.2">
      <c r="D1654" s="1"/>
    </row>
    <row r="1655" spans="4:4" x14ac:dyDescent="0.2">
      <c r="D1655" s="1"/>
    </row>
    <row r="1656" spans="4:4" x14ac:dyDescent="0.2">
      <c r="D1656" s="1"/>
    </row>
    <row r="1657" spans="4:4" x14ac:dyDescent="0.2">
      <c r="D1657" s="1"/>
    </row>
    <row r="1658" spans="4:4" x14ac:dyDescent="0.2">
      <c r="D1658" s="1"/>
    </row>
    <row r="1659" spans="4:4" x14ac:dyDescent="0.2">
      <c r="D1659" s="1"/>
    </row>
    <row r="1660" spans="4:4" x14ac:dyDescent="0.2">
      <c r="D1660" s="1"/>
    </row>
    <row r="1661" spans="4:4" x14ac:dyDescent="0.2">
      <c r="D1661" s="1"/>
    </row>
    <row r="1662" spans="4:4" x14ac:dyDescent="0.2">
      <c r="D1662" s="1"/>
    </row>
    <row r="1663" spans="4:4" x14ac:dyDescent="0.2">
      <c r="D1663" s="1"/>
    </row>
    <row r="1664" spans="4:4" x14ac:dyDescent="0.2">
      <c r="D1664" s="1"/>
    </row>
    <row r="1665" spans="4:4" x14ac:dyDescent="0.2">
      <c r="D1665" s="1"/>
    </row>
    <row r="1666" spans="4:4" x14ac:dyDescent="0.2">
      <c r="D1666" s="1"/>
    </row>
    <row r="1667" spans="4:4" x14ac:dyDescent="0.2">
      <c r="D1667" s="1"/>
    </row>
    <row r="1668" spans="4:4" x14ac:dyDescent="0.2">
      <c r="D1668" s="1"/>
    </row>
    <row r="1669" spans="4:4" x14ac:dyDescent="0.2">
      <c r="D1669" s="1"/>
    </row>
    <row r="1670" spans="4:4" x14ac:dyDescent="0.2">
      <c r="D1670" s="1"/>
    </row>
    <row r="1671" spans="4:4" x14ac:dyDescent="0.2">
      <c r="D1671" s="1"/>
    </row>
    <row r="1672" spans="4:4" x14ac:dyDescent="0.2">
      <c r="D1672" s="1"/>
    </row>
    <row r="1673" spans="4:4" x14ac:dyDescent="0.2">
      <c r="D1673" s="1"/>
    </row>
    <row r="1674" spans="4:4" x14ac:dyDescent="0.2">
      <c r="D1674" s="1"/>
    </row>
    <row r="1675" spans="4:4" x14ac:dyDescent="0.2">
      <c r="D1675" s="1"/>
    </row>
    <row r="1676" spans="4:4" x14ac:dyDescent="0.2">
      <c r="D1676" s="1"/>
    </row>
    <row r="1677" spans="4:4" x14ac:dyDescent="0.2">
      <c r="D1677" s="1"/>
    </row>
    <row r="1678" spans="4:4" x14ac:dyDescent="0.2">
      <c r="D1678" s="1"/>
    </row>
    <row r="1679" spans="4:4" x14ac:dyDescent="0.2">
      <c r="D1679" s="1"/>
    </row>
    <row r="1680" spans="4:4" x14ac:dyDescent="0.2">
      <c r="D1680" s="1"/>
    </row>
    <row r="1681" spans="4:4" x14ac:dyDescent="0.2">
      <c r="D1681" s="1"/>
    </row>
    <row r="1682" spans="4:4" x14ac:dyDescent="0.2">
      <c r="D1682" s="1"/>
    </row>
    <row r="1683" spans="4:4" x14ac:dyDescent="0.2">
      <c r="D1683" s="1"/>
    </row>
    <row r="1684" spans="4:4" x14ac:dyDescent="0.2">
      <c r="D1684" s="1"/>
    </row>
    <row r="1685" spans="4:4" x14ac:dyDescent="0.2">
      <c r="D1685" s="1"/>
    </row>
    <row r="1686" spans="4:4" x14ac:dyDescent="0.2">
      <c r="D1686" s="1"/>
    </row>
    <row r="1687" spans="4:4" x14ac:dyDescent="0.2">
      <c r="D1687" s="1"/>
    </row>
    <row r="1688" spans="4:4" x14ac:dyDescent="0.2">
      <c r="D1688" s="1"/>
    </row>
    <row r="1689" spans="4:4" x14ac:dyDescent="0.2">
      <c r="D1689" s="1"/>
    </row>
    <row r="1690" spans="4:4" x14ac:dyDescent="0.2">
      <c r="D1690" s="1"/>
    </row>
    <row r="1691" spans="4:4" x14ac:dyDescent="0.2">
      <c r="D1691" s="1"/>
    </row>
    <row r="1692" spans="4:4" x14ac:dyDescent="0.2">
      <c r="D1692" s="1"/>
    </row>
    <row r="1693" spans="4:4" x14ac:dyDescent="0.2">
      <c r="D1693" s="1"/>
    </row>
    <row r="1694" spans="4:4" x14ac:dyDescent="0.2">
      <c r="D1694" s="1"/>
    </row>
    <row r="1695" spans="4:4" x14ac:dyDescent="0.2">
      <c r="D1695" s="1"/>
    </row>
    <row r="1696" spans="4:4" x14ac:dyDescent="0.2">
      <c r="D1696" s="1"/>
    </row>
    <row r="1697" spans="4:4" x14ac:dyDescent="0.2">
      <c r="D1697" s="1"/>
    </row>
    <row r="1698" spans="4:4" x14ac:dyDescent="0.2">
      <c r="D1698" s="1"/>
    </row>
    <row r="1699" spans="4:4" x14ac:dyDescent="0.2">
      <c r="D1699" s="1"/>
    </row>
    <row r="1700" spans="4:4" x14ac:dyDescent="0.2">
      <c r="D1700" s="1"/>
    </row>
    <row r="1701" spans="4:4" x14ac:dyDescent="0.2">
      <c r="D1701" s="1"/>
    </row>
    <row r="1702" spans="4:4" x14ac:dyDescent="0.2">
      <c r="D1702" s="1"/>
    </row>
    <row r="1703" spans="4:4" x14ac:dyDescent="0.2">
      <c r="D1703" s="1"/>
    </row>
    <row r="1704" spans="4:4" x14ac:dyDescent="0.2">
      <c r="D1704" s="1"/>
    </row>
    <row r="1705" spans="4:4" x14ac:dyDescent="0.2">
      <c r="D1705" s="1"/>
    </row>
    <row r="1706" spans="4:4" x14ac:dyDescent="0.2">
      <c r="D1706" s="1"/>
    </row>
    <row r="1707" spans="4:4" x14ac:dyDescent="0.2">
      <c r="D1707" s="1"/>
    </row>
    <row r="1708" spans="4:4" x14ac:dyDescent="0.2">
      <c r="D1708" s="1"/>
    </row>
    <row r="1709" spans="4:4" x14ac:dyDescent="0.2">
      <c r="D1709" s="1"/>
    </row>
    <row r="1710" spans="4:4" x14ac:dyDescent="0.2">
      <c r="D1710" s="1"/>
    </row>
    <row r="1711" spans="4:4" x14ac:dyDescent="0.2">
      <c r="D1711" s="1"/>
    </row>
    <row r="1712" spans="4:4" x14ac:dyDescent="0.2">
      <c r="D1712" s="1"/>
    </row>
    <row r="1713" spans="4:4" x14ac:dyDescent="0.2">
      <c r="D1713" s="1"/>
    </row>
    <row r="1714" spans="4:4" x14ac:dyDescent="0.2">
      <c r="D1714" s="1"/>
    </row>
    <row r="1715" spans="4:4" x14ac:dyDescent="0.2">
      <c r="D1715" s="1"/>
    </row>
    <row r="1716" spans="4:4" x14ac:dyDescent="0.2">
      <c r="D1716" s="1"/>
    </row>
    <row r="1717" spans="4:4" x14ac:dyDescent="0.2">
      <c r="D1717" s="1"/>
    </row>
    <row r="1718" spans="4:4" x14ac:dyDescent="0.2">
      <c r="D1718" s="1"/>
    </row>
    <row r="1719" spans="4:4" x14ac:dyDescent="0.2">
      <c r="D1719" s="1"/>
    </row>
    <row r="1720" spans="4:4" x14ac:dyDescent="0.2">
      <c r="D1720" s="1"/>
    </row>
    <row r="1721" spans="4:4" x14ac:dyDescent="0.2">
      <c r="D1721" s="1"/>
    </row>
    <row r="1722" spans="4:4" x14ac:dyDescent="0.2">
      <c r="D1722" s="1"/>
    </row>
    <row r="1723" spans="4:4" x14ac:dyDescent="0.2">
      <c r="D1723" s="1"/>
    </row>
    <row r="1724" spans="4:4" x14ac:dyDescent="0.2">
      <c r="D1724" s="1"/>
    </row>
    <row r="1725" spans="4:4" x14ac:dyDescent="0.2">
      <c r="D1725" s="1"/>
    </row>
    <row r="1726" spans="4:4" x14ac:dyDescent="0.2">
      <c r="D1726" s="1"/>
    </row>
    <row r="1727" spans="4:4" x14ac:dyDescent="0.2">
      <c r="D1727" s="1"/>
    </row>
    <row r="1728" spans="4:4" x14ac:dyDescent="0.2">
      <c r="D1728" s="1"/>
    </row>
    <row r="1729" spans="4:4" x14ac:dyDescent="0.2">
      <c r="D1729" s="1"/>
    </row>
    <row r="1730" spans="4:4" x14ac:dyDescent="0.2">
      <c r="D1730" s="1"/>
    </row>
    <row r="1731" spans="4:4" x14ac:dyDescent="0.2">
      <c r="D1731" s="1"/>
    </row>
    <row r="1732" spans="4:4" x14ac:dyDescent="0.2">
      <c r="D1732" s="1"/>
    </row>
    <row r="1733" spans="4:4" x14ac:dyDescent="0.2">
      <c r="D1733" s="1"/>
    </row>
    <row r="1734" spans="4:4" x14ac:dyDescent="0.2">
      <c r="D1734" s="1"/>
    </row>
    <row r="1735" spans="4:4" x14ac:dyDescent="0.2">
      <c r="D1735" s="1"/>
    </row>
    <row r="1737" spans="4:4" x14ac:dyDescent="0.2">
      <c r="D1737" s="1"/>
    </row>
    <row r="1738" spans="4:4" x14ac:dyDescent="0.2">
      <c r="D1738" s="1"/>
    </row>
    <row r="1739" spans="4:4" x14ac:dyDescent="0.2">
      <c r="D1739" s="1"/>
    </row>
    <row r="1740" spans="4:4" x14ac:dyDescent="0.2">
      <c r="D1740" s="1"/>
    </row>
    <row r="1741" spans="4:4" x14ac:dyDescent="0.2">
      <c r="D1741" s="1"/>
    </row>
    <row r="1742" spans="4:4" x14ac:dyDescent="0.2">
      <c r="D1742" s="1"/>
    </row>
    <row r="1743" spans="4:4" x14ac:dyDescent="0.2">
      <c r="D1743" s="1"/>
    </row>
    <row r="1744" spans="4:4" x14ac:dyDescent="0.2">
      <c r="D1744" s="1"/>
    </row>
    <row r="1745" spans="4:4" x14ac:dyDescent="0.2">
      <c r="D1745" s="1"/>
    </row>
    <row r="1746" spans="4:4" x14ac:dyDescent="0.2">
      <c r="D1746" s="1"/>
    </row>
    <row r="1747" spans="4:4" x14ac:dyDescent="0.2">
      <c r="D1747" s="1"/>
    </row>
    <row r="1748" spans="4:4" x14ac:dyDescent="0.2">
      <c r="D1748" s="1"/>
    </row>
    <row r="1749" spans="4:4" x14ac:dyDescent="0.2">
      <c r="D1749" s="1"/>
    </row>
    <row r="1750" spans="4:4" x14ac:dyDescent="0.2">
      <c r="D1750" s="1"/>
    </row>
    <row r="1752" spans="4:4" x14ac:dyDescent="0.2">
      <c r="D1752" s="1"/>
    </row>
    <row r="1753" spans="4:4" x14ac:dyDescent="0.2">
      <c r="D1753" s="1"/>
    </row>
    <row r="1754" spans="4:4" x14ac:dyDescent="0.2">
      <c r="D1754" s="1"/>
    </row>
    <row r="1755" spans="4:4" x14ac:dyDescent="0.2">
      <c r="D1755" s="1"/>
    </row>
    <row r="1756" spans="4:4" x14ac:dyDescent="0.2">
      <c r="D1756" s="1"/>
    </row>
    <row r="1757" spans="4:4" x14ac:dyDescent="0.2">
      <c r="D1757" s="1"/>
    </row>
    <row r="1758" spans="4:4" x14ac:dyDescent="0.2">
      <c r="D1758" s="1"/>
    </row>
    <row r="1759" spans="4:4" x14ac:dyDescent="0.2">
      <c r="D1759" s="1"/>
    </row>
    <row r="1760" spans="4:4" x14ac:dyDescent="0.2">
      <c r="D1760" s="1"/>
    </row>
    <row r="1761" spans="4:4" x14ac:dyDescent="0.2">
      <c r="D1761" s="1"/>
    </row>
    <row r="1762" spans="4:4" x14ac:dyDescent="0.2">
      <c r="D1762" s="1"/>
    </row>
    <row r="1764" spans="4:4" x14ac:dyDescent="0.2">
      <c r="D1764" s="1"/>
    </row>
    <row r="1765" spans="4:4" x14ac:dyDescent="0.2">
      <c r="D1765" s="1"/>
    </row>
    <row r="1766" spans="4:4" x14ac:dyDescent="0.2">
      <c r="D1766" s="1"/>
    </row>
    <row r="1767" spans="4:4" x14ac:dyDescent="0.2">
      <c r="D1767" s="1"/>
    </row>
    <row r="1768" spans="4:4" x14ac:dyDescent="0.2">
      <c r="D1768" s="1"/>
    </row>
    <row r="1769" spans="4:4" x14ac:dyDescent="0.2">
      <c r="D1769" s="1"/>
    </row>
    <row r="1771" spans="4:4" x14ac:dyDescent="0.2">
      <c r="D1771" s="1"/>
    </row>
    <row r="1772" spans="4:4" x14ac:dyDescent="0.2">
      <c r="D1772" s="1"/>
    </row>
    <row r="1773" spans="4:4" x14ac:dyDescent="0.2">
      <c r="D1773" s="1"/>
    </row>
    <row r="1774" spans="4:4" x14ac:dyDescent="0.2">
      <c r="D1774" s="1"/>
    </row>
    <row r="1775" spans="4:4" x14ac:dyDescent="0.2">
      <c r="D1775" s="1"/>
    </row>
    <row r="1776" spans="4:4" x14ac:dyDescent="0.2">
      <c r="D1776" s="1"/>
    </row>
    <row r="1778" spans="4:4" x14ac:dyDescent="0.2">
      <c r="D1778" s="1"/>
    </row>
    <row r="1779" spans="4:4" x14ac:dyDescent="0.2">
      <c r="D1779" s="1"/>
    </row>
    <row r="1781" spans="4:4" x14ac:dyDescent="0.2">
      <c r="D1781" s="1"/>
    </row>
    <row r="1784" spans="4:4" x14ac:dyDescent="0.2">
      <c r="D1784" s="1"/>
    </row>
    <row r="1785" spans="4:4" x14ac:dyDescent="0.2">
      <c r="D1785" s="1"/>
    </row>
    <row r="1786" spans="4:4" x14ac:dyDescent="0.2">
      <c r="D1786" s="1"/>
    </row>
    <row r="1787" spans="4:4" x14ac:dyDescent="0.2">
      <c r="D1787" s="1"/>
    </row>
    <row r="1788" spans="4:4" x14ac:dyDescent="0.2">
      <c r="D1788" s="1"/>
    </row>
    <row r="1789" spans="4:4" x14ac:dyDescent="0.2">
      <c r="D1789" s="1"/>
    </row>
    <row r="1790" spans="4:4" x14ac:dyDescent="0.2">
      <c r="D1790" s="1"/>
    </row>
    <row r="1793" spans="4:4" x14ac:dyDescent="0.2">
      <c r="D1793" s="1"/>
    </row>
    <row r="1794" spans="4:4" x14ac:dyDescent="0.2">
      <c r="D1794" s="1"/>
    </row>
    <row r="1795" spans="4:4" x14ac:dyDescent="0.2">
      <c r="D1795" s="1"/>
    </row>
    <row r="1796" spans="4:4" x14ac:dyDescent="0.2">
      <c r="D1796" s="1"/>
    </row>
    <row r="1798" spans="4:4" x14ac:dyDescent="0.2">
      <c r="D1798" s="1"/>
    </row>
    <row r="1799" spans="4:4" x14ac:dyDescent="0.2">
      <c r="D1799" s="1"/>
    </row>
    <row r="1800" spans="4:4" x14ac:dyDescent="0.2">
      <c r="D1800" s="1"/>
    </row>
    <row r="1801" spans="4:4" x14ac:dyDescent="0.2">
      <c r="D1801" s="1"/>
    </row>
    <row r="1802" spans="4:4" x14ac:dyDescent="0.2">
      <c r="D1802" s="1"/>
    </row>
    <row r="1803" spans="4:4" x14ac:dyDescent="0.2">
      <c r="D1803" s="1"/>
    </row>
    <row r="1804" spans="4:4" x14ac:dyDescent="0.2">
      <c r="D1804" s="1"/>
    </row>
    <row r="1805" spans="4:4" x14ac:dyDescent="0.2">
      <c r="D1805" s="1"/>
    </row>
    <row r="1806" spans="4:4" x14ac:dyDescent="0.2">
      <c r="D1806" s="1"/>
    </row>
    <row r="1807" spans="4:4" x14ac:dyDescent="0.2">
      <c r="D1807" s="1"/>
    </row>
    <row r="1827" spans="4:4" x14ac:dyDescent="0.2">
      <c r="D1827" s="1"/>
    </row>
    <row r="2030" spans="4:4" x14ac:dyDescent="0.2">
      <c r="D2030" s="1"/>
    </row>
    <row r="2033" spans="4:4" x14ac:dyDescent="0.2">
      <c r="D2033" s="1"/>
    </row>
    <row r="2034" spans="4:4" x14ac:dyDescent="0.2">
      <c r="D2034" s="1"/>
    </row>
    <row r="2037" spans="4:4" x14ac:dyDescent="0.2">
      <c r="D2037" s="1"/>
    </row>
    <row r="2041" spans="4:4" x14ac:dyDescent="0.2">
      <c r="D2041" s="1"/>
    </row>
    <row r="2045" spans="4:4" x14ac:dyDescent="0.2">
      <c r="D2045" s="1"/>
    </row>
    <row r="2049" spans="4:4" x14ac:dyDescent="0.2">
      <c r="D2049" s="1"/>
    </row>
    <row r="2051" spans="4:4" x14ac:dyDescent="0.2">
      <c r="D2051" s="1"/>
    </row>
    <row r="2055" spans="4:4" x14ac:dyDescent="0.2">
      <c r="D2055" s="1"/>
    </row>
    <row r="2056" spans="4:4" x14ac:dyDescent="0.2">
      <c r="D2056" s="1"/>
    </row>
    <row r="2057" spans="4:4" x14ac:dyDescent="0.2">
      <c r="D2057" s="1"/>
    </row>
    <row r="2059" spans="4:4" x14ac:dyDescent="0.2">
      <c r="D2059" s="1"/>
    </row>
    <row r="2060" spans="4:4" x14ac:dyDescent="0.2">
      <c r="D2060" s="1"/>
    </row>
    <row r="2061" spans="4:4" x14ac:dyDescent="0.2">
      <c r="D2061" s="1"/>
    </row>
    <row r="2062" spans="4:4" x14ac:dyDescent="0.2">
      <c r="D2062" s="1"/>
    </row>
    <row r="2063" spans="4:4" x14ac:dyDescent="0.2">
      <c r="D2063" s="1"/>
    </row>
    <row r="2066" spans="4:4" x14ac:dyDescent="0.2">
      <c r="D2066" s="1"/>
    </row>
    <row r="2067" spans="4:4" x14ac:dyDescent="0.2">
      <c r="D2067" s="1"/>
    </row>
    <row r="2068" spans="4:4" x14ac:dyDescent="0.2">
      <c r="D2068" s="1"/>
    </row>
    <row r="2069" spans="4:4" x14ac:dyDescent="0.2">
      <c r="D2069" s="1"/>
    </row>
    <row r="2070" spans="4:4" x14ac:dyDescent="0.2">
      <c r="D2070" s="1"/>
    </row>
    <row r="2071" spans="4:4" x14ac:dyDescent="0.2">
      <c r="D2071" s="1"/>
    </row>
    <row r="2072" spans="4:4" x14ac:dyDescent="0.2">
      <c r="D2072" s="1"/>
    </row>
    <row r="2073" spans="4:4" x14ac:dyDescent="0.2">
      <c r="D2073" s="1"/>
    </row>
    <row r="2074" spans="4:4" x14ac:dyDescent="0.2">
      <c r="D2074" s="1"/>
    </row>
    <row r="2075" spans="4:4" x14ac:dyDescent="0.2">
      <c r="D2075" s="1"/>
    </row>
    <row r="2076" spans="4:4" x14ac:dyDescent="0.2">
      <c r="D2076" s="1"/>
    </row>
    <row r="2077" spans="4:4" x14ac:dyDescent="0.2">
      <c r="D2077" s="1"/>
    </row>
    <row r="2078" spans="4:4" x14ac:dyDescent="0.2">
      <c r="D2078" s="1"/>
    </row>
    <row r="2079" spans="4:4" x14ac:dyDescent="0.2">
      <c r="D2079" s="1"/>
    </row>
    <row r="2080" spans="4:4" x14ac:dyDescent="0.2">
      <c r="D2080" s="1"/>
    </row>
    <row r="2081" spans="4:4" x14ac:dyDescent="0.2">
      <c r="D2081" s="1"/>
    </row>
    <row r="2082" spans="4:4" x14ac:dyDescent="0.2">
      <c r="D2082" s="1"/>
    </row>
    <row r="2083" spans="4:4" x14ac:dyDescent="0.2">
      <c r="D2083" s="1"/>
    </row>
    <row r="2085" spans="4:4" x14ac:dyDescent="0.2">
      <c r="D2085" s="1"/>
    </row>
    <row r="2086" spans="4:4" x14ac:dyDescent="0.2">
      <c r="D2086" s="1"/>
    </row>
    <row r="2087" spans="4:4" x14ac:dyDescent="0.2">
      <c r="D2087" s="1"/>
    </row>
    <row r="2088" spans="4:4" x14ac:dyDescent="0.2">
      <c r="D2088" s="1"/>
    </row>
    <row r="2089" spans="4:4" x14ac:dyDescent="0.2">
      <c r="D2089" s="1"/>
    </row>
    <row r="2090" spans="4:4" x14ac:dyDescent="0.2">
      <c r="D2090" s="1"/>
    </row>
    <row r="2091" spans="4:4" x14ac:dyDescent="0.2">
      <c r="D2091" s="1"/>
    </row>
    <row r="2092" spans="4:4" x14ac:dyDescent="0.2">
      <c r="D2092" s="1"/>
    </row>
    <row r="2093" spans="4:4" x14ac:dyDescent="0.2">
      <c r="D2093" s="1"/>
    </row>
    <row r="2094" spans="4:4" x14ac:dyDescent="0.2">
      <c r="D2094" s="1"/>
    </row>
    <row r="2095" spans="4:4" x14ac:dyDescent="0.2">
      <c r="D2095" s="1"/>
    </row>
    <row r="2096" spans="4:4" x14ac:dyDescent="0.2">
      <c r="D2096" s="1"/>
    </row>
    <row r="2098" spans="4:4" x14ac:dyDescent="0.2">
      <c r="D2098" s="1"/>
    </row>
    <row r="2099" spans="4:4" x14ac:dyDescent="0.2">
      <c r="D2099" s="1"/>
    </row>
    <row r="2100" spans="4:4" x14ac:dyDescent="0.2">
      <c r="D2100" s="1"/>
    </row>
    <row r="2101" spans="4:4" x14ac:dyDescent="0.2">
      <c r="D2101" s="1"/>
    </row>
    <row r="2103" spans="4:4" x14ac:dyDescent="0.2">
      <c r="D2103" s="1"/>
    </row>
    <row r="2104" spans="4:4" x14ac:dyDescent="0.2">
      <c r="D2104" s="1"/>
    </row>
    <row r="2106" spans="4:4" x14ac:dyDescent="0.2">
      <c r="D2106" s="1"/>
    </row>
    <row r="2107" spans="4:4" x14ac:dyDescent="0.2">
      <c r="D2107" s="1"/>
    </row>
    <row r="2108" spans="4:4" x14ac:dyDescent="0.2">
      <c r="D2108" s="1"/>
    </row>
    <row r="2109" spans="4:4" x14ac:dyDescent="0.2">
      <c r="D2109" s="1"/>
    </row>
    <row r="2110" spans="4:4" x14ac:dyDescent="0.2">
      <c r="D2110" s="1"/>
    </row>
    <row r="2113" spans="4:4" x14ac:dyDescent="0.2">
      <c r="D2113" s="1"/>
    </row>
    <row r="2114" spans="4:4" x14ac:dyDescent="0.2">
      <c r="D2114" s="1"/>
    </row>
    <row r="2115" spans="4:4" x14ac:dyDescent="0.2">
      <c r="D2115" s="1"/>
    </row>
    <row r="2116" spans="4:4" x14ac:dyDescent="0.2">
      <c r="D2116" s="1"/>
    </row>
    <row r="2117" spans="4:4" x14ac:dyDescent="0.2">
      <c r="D2117" s="1"/>
    </row>
    <row r="2118" spans="4:4" x14ac:dyDescent="0.2">
      <c r="D2118" s="1"/>
    </row>
    <row r="2119" spans="4:4" x14ac:dyDescent="0.2">
      <c r="D2119" s="1"/>
    </row>
    <row r="2120" spans="4:4" x14ac:dyDescent="0.2">
      <c r="D2120" s="1"/>
    </row>
    <row r="2121" spans="4:4" x14ac:dyDescent="0.2">
      <c r="D2121" s="1"/>
    </row>
    <row r="2122" spans="4:4" x14ac:dyDescent="0.2">
      <c r="D2122" s="1"/>
    </row>
    <row r="2123" spans="4:4" x14ac:dyDescent="0.2">
      <c r="D2123" s="1"/>
    </row>
    <row r="2124" spans="4:4" x14ac:dyDescent="0.2">
      <c r="D2124" s="1"/>
    </row>
    <row r="2125" spans="4:4" x14ac:dyDescent="0.2">
      <c r="D2125" s="1"/>
    </row>
    <row r="2126" spans="4:4" x14ac:dyDescent="0.2">
      <c r="D2126" s="1"/>
    </row>
    <row r="2127" spans="4:4" x14ac:dyDescent="0.2">
      <c r="D2127" s="1"/>
    </row>
    <row r="2128" spans="4:4" x14ac:dyDescent="0.2">
      <c r="D2128" s="1"/>
    </row>
    <row r="2129" spans="4:4" x14ac:dyDescent="0.2">
      <c r="D2129" s="1"/>
    </row>
    <row r="2130" spans="4:4" x14ac:dyDescent="0.2">
      <c r="D2130" s="1"/>
    </row>
    <row r="2131" spans="4:4" x14ac:dyDescent="0.2">
      <c r="D2131" s="1"/>
    </row>
    <row r="2133" spans="4:4" x14ac:dyDescent="0.2">
      <c r="D2133" s="1"/>
    </row>
    <row r="2134" spans="4:4" x14ac:dyDescent="0.2">
      <c r="D2134" s="1"/>
    </row>
    <row r="2135" spans="4:4" x14ac:dyDescent="0.2">
      <c r="D2135" s="1"/>
    </row>
    <row r="2136" spans="4:4" x14ac:dyDescent="0.2">
      <c r="D2136" s="1"/>
    </row>
    <row r="2137" spans="4:4" x14ac:dyDescent="0.2">
      <c r="D2137" s="1"/>
    </row>
    <row r="2138" spans="4:4" x14ac:dyDescent="0.2">
      <c r="D2138" s="1"/>
    </row>
    <row r="2139" spans="4:4" x14ac:dyDescent="0.2">
      <c r="D2139" s="1"/>
    </row>
    <row r="2140" spans="4:4" x14ac:dyDescent="0.2">
      <c r="D2140" s="1"/>
    </row>
    <row r="2141" spans="4:4" x14ac:dyDescent="0.2">
      <c r="D2141" s="1"/>
    </row>
    <row r="2142" spans="4:4" x14ac:dyDescent="0.2">
      <c r="D2142" s="1"/>
    </row>
    <row r="2143" spans="4:4" x14ac:dyDescent="0.2">
      <c r="D2143" s="1"/>
    </row>
    <row r="2144" spans="4:4" x14ac:dyDescent="0.2">
      <c r="D2144" s="1"/>
    </row>
    <row r="2145" spans="4:4" x14ac:dyDescent="0.2">
      <c r="D2145" s="1"/>
    </row>
    <row r="2146" spans="4:4" x14ac:dyDescent="0.2">
      <c r="D2146" s="1"/>
    </row>
    <row r="2147" spans="4:4" x14ac:dyDescent="0.2">
      <c r="D2147" s="1"/>
    </row>
    <row r="2148" spans="4:4" x14ac:dyDescent="0.2">
      <c r="D2148" s="1"/>
    </row>
    <row r="2149" spans="4:4" x14ac:dyDescent="0.2">
      <c r="D2149" s="1"/>
    </row>
    <row r="2150" spans="4:4" x14ac:dyDescent="0.2">
      <c r="D2150" s="1"/>
    </row>
    <row r="2151" spans="4:4" x14ac:dyDescent="0.2">
      <c r="D2151" s="1"/>
    </row>
    <row r="2152" spans="4:4" x14ac:dyDescent="0.2">
      <c r="D2152" s="1"/>
    </row>
    <row r="2153" spans="4:4" x14ac:dyDescent="0.2">
      <c r="D2153" s="1"/>
    </row>
    <row r="2154" spans="4:4" x14ac:dyDescent="0.2">
      <c r="D2154" s="1"/>
    </row>
    <row r="2155" spans="4:4" x14ac:dyDescent="0.2">
      <c r="D2155" s="1"/>
    </row>
    <row r="2156" spans="4:4" x14ac:dyDescent="0.2">
      <c r="D2156" s="1"/>
    </row>
    <row r="2157" spans="4:4" x14ac:dyDescent="0.2">
      <c r="D2157" s="1"/>
    </row>
    <row r="2158" spans="4:4" x14ac:dyDescent="0.2">
      <c r="D2158" s="1"/>
    </row>
    <row r="2159" spans="4:4" x14ac:dyDescent="0.2">
      <c r="D2159" s="1"/>
    </row>
    <row r="2160" spans="4:4" x14ac:dyDescent="0.2">
      <c r="D2160" s="1"/>
    </row>
    <row r="2161" spans="4:4" x14ac:dyDescent="0.2">
      <c r="D2161" s="1"/>
    </row>
    <row r="2162" spans="4:4" x14ac:dyDescent="0.2">
      <c r="D2162" s="1"/>
    </row>
    <row r="2163" spans="4:4" x14ac:dyDescent="0.2">
      <c r="D2163" s="1"/>
    </row>
    <row r="2164" spans="4:4" x14ac:dyDescent="0.2">
      <c r="D2164" s="1"/>
    </row>
    <row r="2165" spans="4:4" x14ac:dyDescent="0.2">
      <c r="D2165" s="1"/>
    </row>
    <row r="2166" spans="4:4" x14ac:dyDescent="0.2">
      <c r="D2166" s="1"/>
    </row>
    <row r="2167" spans="4:4" x14ac:dyDescent="0.2">
      <c r="D2167" s="1"/>
    </row>
    <row r="2168" spans="4:4" x14ac:dyDescent="0.2">
      <c r="D2168" s="1"/>
    </row>
    <row r="2169" spans="4:4" x14ac:dyDescent="0.2">
      <c r="D2169" s="1"/>
    </row>
    <row r="2170" spans="4:4" x14ac:dyDescent="0.2">
      <c r="D2170" s="1"/>
    </row>
    <row r="2171" spans="4:4" x14ac:dyDescent="0.2">
      <c r="D2171" s="1"/>
    </row>
    <row r="2172" spans="4:4" x14ac:dyDescent="0.2">
      <c r="D2172" s="1"/>
    </row>
    <row r="2173" spans="4:4" x14ac:dyDescent="0.2">
      <c r="D2173" s="1"/>
    </row>
    <row r="2174" spans="4:4" x14ac:dyDescent="0.2">
      <c r="D2174" s="1"/>
    </row>
    <row r="2175" spans="4:4" x14ac:dyDescent="0.2">
      <c r="D2175" s="1"/>
    </row>
    <row r="2176" spans="4:4" x14ac:dyDescent="0.2">
      <c r="D2176" s="1"/>
    </row>
    <row r="2177" spans="4:4" x14ac:dyDescent="0.2">
      <c r="D2177" s="1"/>
    </row>
    <row r="2178" spans="4:4" x14ac:dyDescent="0.2">
      <c r="D2178" s="1"/>
    </row>
    <row r="2179" spans="4:4" x14ac:dyDescent="0.2">
      <c r="D2179" s="1"/>
    </row>
    <row r="2180" spans="4:4" x14ac:dyDescent="0.2">
      <c r="D2180" s="1"/>
    </row>
    <row r="2181" spans="4:4" x14ac:dyDescent="0.2">
      <c r="D2181" s="1"/>
    </row>
    <row r="2182" spans="4:4" x14ac:dyDescent="0.2">
      <c r="D2182" s="1"/>
    </row>
    <row r="2183" spans="4:4" x14ac:dyDescent="0.2">
      <c r="D2183" s="1"/>
    </row>
    <row r="2184" spans="4:4" x14ac:dyDescent="0.2">
      <c r="D2184" s="1"/>
    </row>
    <row r="2185" spans="4:4" x14ac:dyDescent="0.2">
      <c r="D2185" s="1"/>
    </row>
    <row r="2186" spans="4:4" x14ac:dyDescent="0.2">
      <c r="D2186" s="1"/>
    </row>
    <row r="2187" spans="4:4" x14ac:dyDescent="0.2">
      <c r="D2187" s="1"/>
    </row>
    <row r="2188" spans="4:4" x14ac:dyDescent="0.2">
      <c r="D2188" s="1"/>
    </row>
    <row r="2189" spans="4:4" x14ac:dyDescent="0.2">
      <c r="D2189" s="1"/>
    </row>
    <row r="2190" spans="4:4" x14ac:dyDescent="0.2">
      <c r="D2190" s="1"/>
    </row>
    <row r="2191" spans="4:4" x14ac:dyDescent="0.2">
      <c r="D2191" s="1"/>
    </row>
    <row r="2192" spans="4:4" x14ac:dyDescent="0.2">
      <c r="D2192" s="1"/>
    </row>
    <row r="2193" spans="4:4" x14ac:dyDescent="0.2">
      <c r="D2193" s="1"/>
    </row>
    <row r="2194" spans="4:4" x14ac:dyDescent="0.2">
      <c r="D2194" s="1"/>
    </row>
    <row r="2195" spans="4:4" x14ac:dyDescent="0.2">
      <c r="D2195" s="1"/>
    </row>
    <row r="2196" spans="4:4" x14ac:dyDescent="0.2">
      <c r="D2196" s="1"/>
    </row>
    <row r="2197" spans="4:4" x14ac:dyDescent="0.2">
      <c r="D2197" s="1"/>
    </row>
    <row r="2198" spans="4:4" x14ac:dyDescent="0.2">
      <c r="D2198" s="1"/>
    </row>
    <row r="2199" spans="4:4" x14ac:dyDescent="0.2">
      <c r="D2199" s="1"/>
    </row>
    <row r="2200" spans="4:4" x14ac:dyDescent="0.2">
      <c r="D2200" s="1"/>
    </row>
    <row r="2201" spans="4:4" x14ac:dyDescent="0.2">
      <c r="D2201" s="1"/>
    </row>
    <row r="2202" spans="4:4" x14ac:dyDescent="0.2">
      <c r="D2202" s="1"/>
    </row>
    <row r="2203" spans="4:4" x14ac:dyDescent="0.2">
      <c r="D2203" s="1"/>
    </row>
    <row r="2204" spans="4:4" x14ac:dyDescent="0.2">
      <c r="D2204" s="1"/>
    </row>
    <row r="2205" spans="4:4" x14ac:dyDescent="0.2">
      <c r="D2205" s="1"/>
    </row>
    <row r="2206" spans="4:4" x14ac:dyDescent="0.2">
      <c r="D2206" s="1"/>
    </row>
    <row r="2207" spans="4:4" x14ac:dyDescent="0.2">
      <c r="D2207" s="1"/>
    </row>
    <row r="2208" spans="4:4" x14ac:dyDescent="0.2">
      <c r="D2208" s="1"/>
    </row>
    <row r="2209" spans="4:4" x14ac:dyDescent="0.2">
      <c r="D2209" s="1"/>
    </row>
    <row r="2210" spans="4:4" x14ac:dyDescent="0.2">
      <c r="D2210" s="1"/>
    </row>
    <row r="2211" spans="4:4" x14ac:dyDescent="0.2">
      <c r="D2211" s="1"/>
    </row>
    <row r="2212" spans="4:4" x14ac:dyDescent="0.2">
      <c r="D2212" s="1"/>
    </row>
    <row r="2213" spans="4:4" x14ac:dyDescent="0.2">
      <c r="D2213" s="1"/>
    </row>
    <row r="2214" spans="4:4" x14ac:dyDescent="0.2">
      <c r="D2214" s="1"/>
    </row>
    <row r="2215" spans="4:4" x14ac:dyDescent="0.2">
      <c r="D2215" s="1"/>
    </row>
    <row r="2216" spans="4:4" x14ac:dyDescent="0.2">
      <c r="D2216" s="1"/>
    </row>
    <row r="2217" spans="4:4" x14ac:dyDescent="0.2">
      <c r="D2217" s="1"/>
    </row>
    <row r="2218" spans="4:4" x14ac:dyDescent="0.2">
      <c r="D2218" s="1"/>
    </row>
    <row r="2219" spans="4:4" x14ac:dyDescent="0.2">
      <c r="D2219" s="1"/>
    </row>
    <row r="2220" spans="4:4" x14ac:dyDescent="0.2">
      <c r="D2220" s="1"/>
    </row>
    <row r="2221" spans="4:4" x14ac:dyDescent="0.2">
      <c r="D2221" s="1"/>
    </row>
    <row r="2222" spans="4:4" x14ac:dyDescent="0.2">
      <c r="D2222" s="1"/>
    </row>
    <row r="2223" spans="4:4" x14ac:dyDescent="0.2">
      <c r="D2223" s="1"/>
    </row>
    <row r="2224" spans="4:4" x14ac:dyDescent="0.2">
      <c r="D2224" s="1"/>
    </row>
    <row r="2225" spans="4:4" x14ac:dyDescent="0.2">
      <c r="D2225" s="1"/>
    </row>
    <row r="2226" spans="4:4" x14ac:dyDescent="0.2">
      <c r="D2226" s="1"/>
    </row>
    <row r="2227" spans="4:4" x14ac:dyDescent="0.2">
      <c r="D2227" s="1"/>
    </row>
    <row r="2228" spans="4:4" x14ac:dyDescent="0.2">
      <c r="D2228" s="1"/>
    </row>
    <row r="2229" spans="4:4" x14ac:dyDescent="0.2">
      <c r="D2229" s="1"/>
    </row>
    <row r="2230" spans="4:4" x14ac:dyDescent="0.2">
      <c r="D2230" s="1"/>
    </row>
    <row r="2231" spans="4:4" x14ac:dyDescent="0.2">
      <c r="D2231" s="1"/>
    </row>
    <row r="2232" spans="4:4" x14ac:dyDescent="0.2">
      <c r="D2232" s="1"/>
    </row>
    <row r="2233" spans="4:4" x14ac:dyDescent="0.2">
      <c r="D2233" s="1"/>
    </row>
    <row r="2234" spans="4:4" x14ac:dyDescent="0.2">
      <c r="D2234" s="1"/>
    </row>
    <row r="2235" spans="4:4" x14ac:dyDescent="0.2">
      <c r="D2235" s="1"/>
    </row>
    <row r="2236" spans="4:4" x14ac:dyDescent="0.2">
      <c r="D2236" s="1"/>
    </row>
    <row r="2237" spans="4:4" x14ac:dyDescent="0.2">
      <c r="D2237" s="1"/>
    </row>
    <row r="2238" spans="4:4" x14ac:dyDescent="0.2">
      <c r="D2238" s="1"/>
    </row>
    <row r="2239" spans="4:4" x14ac:dyDescent="0.2">
      <c r="D2239" s="1"/>
    </row>
    <row r="2240" spans="4:4" x14ac:dyDescent="0.2">
      <c r="D2240" s="1"/>
    </row>
    <row r="2241" spans="4:4" x14ac:dyDescent="0.2">
      <c r="D2241" s="1"/>
    </row>
    <row r="2242" spans="4:4" x14ac:dyDescent="0.2">
      <c r="D2242" s="1"/>
    </row>
    <row r="2243" spans="4:4" x14ac:dyDescent="0.2">
      <c r="D2243" s="1"/>
    </row>
    <row r="2244" spans="4:4" x14ac:dyDescent="0.2">
      <c r="D2244" s="1"/>
    </row>
    <row r="2245" spans="4:4" x14ac:dyDescent="0.2">
      <c r="D2245" s="1"/>
    </row>
    <row r="2246" spans="4:4" x14ac:dyDescent="0.2">
      <c r="D2246" s="1"/>
    </row>
    <row r="2247" spans="4:4" x14ac:dyDescent="0.2">
      <c r="D2247" s="1"/>
    </row>
    <row r="2248" spans="4:4" x14ac:dyDescent="0.2">
      <c r="D2248" s="1"/>
    </row>
    <row r="2249" spans="4:4" x14ac:dyDescent="0.2">
      <c r="D2249" s="1"/>
    </row>
    <row r="2250" spans="4:4" x14ac:dyDescent="0.2">
      <c r="D2250" s="1"/>
    </row>
    <row r="2251" spans="4:4" x14ac:dyDescent="0.2">
      <c r="D2251" s="1"/>
    </row>
    <row r="2252" spans="4:4" x14ac:dyDescent="0.2">
      <c r="D2252" s="1"/>
    </row>
    <row r="2253" spans="4:4" x14ac:dyDescent="0.2">
      <c r="D2253" s="1"/>
    </row>
    <row r="2254" spans="4:4" x14ac:dyDescent="0.2">
      <c r="D2254" s="1"/>
    </row>
    <row r="2255" spans="4:4" x14ac:dyDescent="0.2">
      <c r="D2255" s="1"/>
    </row>
    <row r="2256" spans="4:4" x14ac:dyDescent="0.2">
      <c r="D2256" s="1"/>
    </row>
    <row r="2257" spans="4:4" x14ac:dyDescent="0.2">
      <c r="D2257" s="1"/>
    </row>
    <row r="2258" spans="4:4" x14ac:dyDescent="0.2">
      <c r="D2258" s="1"/>
    </row>
    <row r="2259" spans="4:4" x14ac:dyDescent="0.2">
      <c r="D2259" s="1"/>
    </row>
    <row r="2260" spans="4:4" x14ac:dyDescent="0.2">
      <c r="D2260" s="1"/>
    </row>
    <row r="2261" spans="4:4" x14ac:dyDescent="0.2">
      <c r="D2261" s="1"/>
    </row>
    <row r="2262" spans="4:4" x14ac:dyDescent="0.2">
      <c r="D2262" s="1"/>
    </row>
    <row r="2263" spans="4:4" x14ac:dyDescent="0.2">
      <c r="D2263" s="1"/>
    </row>
    <row r="2264" spans="4:4" x14ac:dyDescent="0.2">
      <c r="D2264" s="1"/>
    </row>
    <row r="2265" spans="4:4" x14ac:dyDescent="0.2">
      <c r="D2265" s="1"/>
    </row>
    <row r="2266" spans="4:4" x14ac:dyDescent="0.2">
      <c r="D2266" s="1"/>
    </row>
    <row r="2267" spans="4:4" x14ac:dyDescent="0.2">
      <c r="D2267" s="1"/>
    </row>
    <row r="2268" spans="4:4" x14ac:dyDescent="0.2">
      <c r="D2268" s="1"/>
    </row>
    <row r="2269" spans="4:4" x14ac:dyDescent="0.2">
      <c r="D2269" s="1"/>
    </row>
    <row r="2270" spans="4:4" x14ac:dyDescent="0.2">
      <c r="D2270" s="1"/>
    </row>
    <row r="2271" spans="4:4" x14ac:dyDescent="0.2">
      <c r="D2271" s="1"/>
    </row>
    <row r="2272" spans="4:4" x14ac:dyDescent="0.2">
      <c r="D2272" s="1"/>
    </row>
    <row r="2273" spans="4:4" x14ac:dyDescent="0.2">
      <c r="D2273" s="1"/>
    </row>
    <row r="2274" spans="4:4" x14ac:dyDescent="0.2">
      <c r="D2274" s="1"/>
    </row>
    <row r="2275" spans="4:4" x14ac:dyDescent="0.2">
      <c r="D2275" s="1"/>
    </row>
    <row r="2276" spans="4:4" x14ac:dyDescent="0.2">
      <c r="D2276" s="1"/>
    </row>
    <row r="2277" spans="4:4" x14ac:dyDescent="0.2">
      <c r="D2277" s="1"/>
    </row>
    <row r="2278" spans="4:4" x14ac:dyDescent="0.2">
      <c r="D2278" s="1"/>
    </row>
    <row r="2279" spans="4:4" x14ac:dyDescent="0.2">
      <c r="D2279" s="1"/>
    </row>
    <row r="2280" spans="4:4" x14ac:dyDescent="0.2">
      <c r="D2280" s="1"/>
    </row>
    <row r="2281" spans="4:4" x14ac:dyDescent="0.2">
      <c r="D2281" s="1"/>
    </row>
    <row r="2282" spans="4:4" x14ac:dyDescent="0.2">
      <c r="D2282" s="1"/>
    </row>
    <row r="2283" spans="4:4" x14ac:dyDescent="0.2">
      <c r="D2283" s="1"/>
    </row>
    <row r="2284" spans="4:4" x14ac:dyDescent="0.2">
      <c r="D2284" s="1"/>
    </row>
    <row r="2285" spans="4:4" x14ac:dyDescent="0.2">
      <c r="D2285" s="1"/>
    </row>
    <row r="2286" spans="4:4" x14ac:dyDescent="0.2">
      <c r="D2286" s="1"/>
    </row>
    <row r="2287" spans="4:4" x14ac:dyDescent="0.2">
      <c r="D2287" s="1"/>
    </row>
    <row r="2288" spans="4:4" x14ac:dyDescent="0.2">
      <c r="D2288" s="1"/>
    </row>
    <row r="2289" spans="4:4" x14ac:dyDescent="0.2">
      <c r="D2289" s="1"/>
    </row>
    <row r="2290" spans="4:4" x14ac:dyDescent="0.2">
      <c r="D2290" s="1"/>
    </row>
    <row r="2291" spans="4:4" x14ac:dyDescent="0.2">
      <c r="D2291" s="1"/>
    </row>
    <row r="2292" spans="4:4" x14ac:dyDescent="0.2">
      <c r="D2292" s="1"/>
    </row>
    <row r="2293" spans="4:4" x14ac:dyDescent="0.2">
      <c r="D2293" s="1"/>
    </row>
    <row r="2294" spans="4:4" x14ac:dyDescent="0.2">
      <c r="D2294" s="1"/>
    </row>
    <row r="2295" spans="4:4" x14ac:dyDescent="0.2">
      <c r="D2295" s="1"/>
    </row>
    <row r="2296" spans="4:4" x14ac:dyDescent="0.2">
      <c r="D2296" s="1"/>
    </row>
    <row r="2297" spans="4:4" x14ac:dyDescent="0.2">
      <c r="D2297" s="1"/>
    </row>
    <row r="2298" spans="4:4" x14ac:dyDescent="0.2">
      <c r="D2298" s="1"/>
    </row>
    <row r="2299" spans="4:4" x14ac:dyDescent="0.2">
      <c r="D2299" s="1"/>
    </row>
    <row r="2300" spans="4:4" x14ac:dyDescent="0.2">
      <c r="D2300" s="1"/>
    </row>
    <row r="2301" spans="4:4" x14ac:dyDescent="0.2">
      <c r="D2301" s="1"/>
    </row>
    <row r="2302" spans="4:4" x14ac:dyDescent="0.2">
      <c r="D2302" s="1"/>
    </row>
    <row r="2303" spans="4:4" x14ac:dyDescent="0.2">
      <c r="D2303" s="1"/>
    </row>
    <row r="2304" spans="4:4" x14ac:dyDescent="0.2">
      <c r="D2304" s="1"/>
    </row>
    <row r="2305" spans="4:4" x14ac:dyDescent="0.2">
      <c r="D2305" s="1"/>
    </row>
    <row r="2306" spans="4:4" x14ac:dyDescent="0.2">
      <c r="D2306" s="1"/>
    </row>
    <row r="2307" spans="4:4" x14ac:dyDescent="0.2">
      <c r="D2307" s="1"/>
    </row>
    <row r="2308" spans="4:4" x14ac:dyDescent="0.2">
      <c r="D2308" s="1"/>
    </row>
    <row r="2309" spans="4:4" x14ac:dyDescent="0.2">
      <c r="D2309" s="1"/>
    </row>
    <row r="2310" spans="4:4" x14ac:dyDescent="0.2">
      <c r="D2310" s="1"/>
    </row>
    <row r="2311" spans="4:4" x14ac:dyDescent="0.2">
      <c r="D2311" s="1"/>
    </row>
    <row r="2312" spans="4:4" x14ac:dyDescent="0.2">
      <c r="D2312" s="1"/>
    </row>
    <row r="2313" spans="4:4" x14ac:dyDescent="0.2">
      <c r="D2313" s="1"/>
    </row>
    <row r="2314" spans="4:4" x14ac:dyDescent="0.2">
      <c r="D2314" s="1"/>
    </row>
    <row r="2315" spans="4:4" x14ac:dyDescent="0.2">
      <c r="D2315" s="1"/>
    </row>
    <row r="2316" spans="4:4" x14ac:dyDescent="0.2">
      <c r="D2316" s="1"/>
    </row>
    <row r="2317" spans="4:4" x14ac:dyDescent="0.2">
      <c r="D2317" s="1"/>
    </row>
    <row r="2318" spans="4:4" x14ac:dyDescent="0.2">
      <c r="D2318" s="1"/>
    </row>
    <row r="2319" spans="4:4" x14ac:dyDescent="0.2">
      <c r="D2319" s="1"/>
    </row>
    <row r="2320" spans="4:4" x14ac:dyDescent="0.2">
      <c r="D2320" s="1"/>
    </row>
    <row r="2321" spans="4:4" x14ac:dyDescent="0.2">
      <c r="D2321" s="1"/>
    </row>
    <row r="2322" spans="4:4" x14ac:dyDescent="0.2">
      <c r="D2322" s="1"/>
    </row>
    <row r="2323" spans="4:4" x14ac:dyDescent="0.2">
      <c r="D2323" s="1"/>
    </row>
    <row r="2324" spans="4:4" x14ac:dyDescent="0.2">
      <c r="D2324" s="1"/>
    </row>
    <row r="2325" spans="4:4" x14ac:dyDescent="0.2">
      <c r="D2325" s="1"/>
    </row>
    <row r="2326" spans="4:4" x14ac:dyDescent="0.2">
      <c r="D2326" s="1"/>
    </row>
    <row r="2327" spans="4:4" x14ac:dyDescent="0.2">
      <c r="D2327" s="1"/>
    </row>
    <row r="2328" spans="4:4" x14ac:dyDescent="0.2">
      <c r="D2328" s="1"/>
    </row>
    <row r="2329" spans="4:4" x14ac:dyDescent="0.2">
      <c r="D2329" s="1"/>
    </row>
    <row r="2330" spans="4:4" x14ac:dyDescent="0.2">
      <c r="D2330" s="1"/>
    </row>
    <row r="2331" spans="4:4" x14ac:dyDescent="0.2">
      <c r="D2331" s="1"/>
    </row>
    <row r="2332" spans="4:4" x14ac:dyDescent="0.2">
      <c r="D2332" s="1"/>
    </row>
    <row r="2333" spans="4:4" x14ac:dyDescent="0.2">
      <c r="D2333" s="1"/>
    </row>
    <row r="2334" spans="4:4" x14ac:dyDescent="0.2">
      <c r="D2334" s="1"/>
    </row>
    <row r="2335" spans="4:4" x14ac:dyDescent="0.2">
      <c r="D2335" s="1"/>
    </row>
    <row r="2336" spans="4:4" x14ac:dyDescent="0.2">
      <c r="D2336" s="1"/>
    </row>
    <row r="2337" spans="4:4" x14ac:dyDescent="0.2">
      <c r="D2337" s="1"/>
    </row>
    <row r="2338" spans="4:4" x14ac:dyDescent="0.2">
      <c r="D2338" s="1"/>
    </row>
    <row r="2339" spans="4:4" x14ac:dyDescent="0.2">
      <c r="D2339" s="1"/>
    </row>
    <row r="2340" spans="4:4" x14ac:dyDescent="0.2">
      <c r="D2340" s="1"/>
    </row>
    <row r="2341" spans="4:4" x14ac:dyDescent="0.2">
      <c r="D2341" s="1"/>
    </row>
    <row r="2342" spans="4:4" x14ac:dyDescent="0.2">
      <c r="D2342" s="1"/>
    </row>
    <row r="2343" spans="4:4" x14ac:dyDescent="0.2">
      <c r="D2343" s="1"/>
    </row>
    <row r="2344" spans="4:4" x14ac:dyDescent="0.2">
      <c r="D2344" s="1"/>
    </row>
    <row r="2345" spans="4:4" x14ac:dyDescent="0.2">
      <c r="D2345" s="1"/>
    </row>
    <row r="2346" spans="4:4" x14ac:dyDescent="0.2">
      <c r="D2346" s="1"/>
    </row>
    <row r="2347" spans="4:4" x14ac:dyDescent="0.2">
      <c r="D2347" s="1"/>
    </row>
    <row r="2348" spans="4:4" x14ac:dyDescent="0.2">
      <c r="D2348" s="1"/>
    </row>
    <row r="2349" spans="4:4" x14ac:dyDescent="0.2">
      <c r="D2349" s="1"/>
    </row>
    <row r="2350" spans="4:4" x14ac:dyDescent="0.2">
      <c r="D2350" s="1"/>
    </row>
    <row r="2351" spans="4:4" x14ac:dyDescent="0.2">
      <c r="D2351" s="1"/>
    </row>
    <row r="2352" spans="4:4" x14ac:dyDescent="0.2">
      <c r="D2352" s="1"/>
    </row>
    <row r="2353" spans="4:4" x14ac:dyDescent="0.2">
      <c r="D2353" s="1"/>
    </row>
    <row r="2354" spans="4:4" x14ac:dyDescent="0.2">
      <c r="D2354" s="1"/>
    </row>
    <row r="2355" spans="4:4" x14ac:dyDescent="0.2">
      <c r="D2355" s="1"/>
    </row>
    <row r="2356" spans="4:4" x14ac:dyDescent="0.2">
      <c r="D2356" s="1"/>
    </row>
    <row r="2357" spans="4:4" x14ac:dyDescent="0.2">
      <c r="D2357" s="1"/>
    </row>
    <row r="2358" spans="4:4" x14ac:dyDescent="0.2">
      <c r="D2358" s="1"/>
    </row>
    <row r="2359" spans="4:4" x14ac:dyDescent="0.2">
      <c r="D2359" s="1"/>
    </row>
    <row r="2360" spans="4:4" x14ac:dyDescent="0.2">
      <c r="D2360" s="1"/>
    </row>
    <row r="2361" spans="4:4" x14ac:dyDescent="0.2">
      <c r="D2361" s="1"/>
    </row>
    <row r="2362" spans="4:4" x14ac:dyDescent="0.2">
      <c r="D2362" s="1"/>
    </row>
    <row r="2363" spans="4:4" x14ac:dyDescent="0.2">
      <c r="D2363" s="1"/>
    </row>
    <row r="2364" spans="4:4" x14ac:dyDescent="0.2">
      <c r="D2364" s="1"/>
    </row>
    <row r="2365" spans="4:4" x14ac:dyDescent="0.2">
      <c r="D2365" s="1"/>
    </row>
    <row r="2366" spans="4:4" x14ac:dyDescent="0.2">
      <c r="D2366" s="1"/>
    </row>
    <row r="2367" spans="4:4" x14ac:dyDescent="0.2">
      <c r="D2367" s="1"/>
    </row>
    <row r="2368" spans="4:4" x14ac:dyDescent="0.2">
      <c r="D2368" s="1"/>
    </row>
    <row r="2369" spans="4:4" x14ac:dyDescent="0.2">
      <c r="D2369" s="1"/>
    </row>
    <row r="2370" spans="4:4" x14ac:dyDescent="0.2">
      <c r="D2370" s="1"/>
    </row>
    <row r="2371" spans="4:4" x14ac:dyDescent="0.2">
      <c r="D2371" s="1"/>
    </row>
    <row r="2372" spans="4:4" x14ac:dyDescent="0.2">
      <c r="D2372" s="1"/>
    </row>
    <row r="2373" spans="4:4" x14ac:dyDescent="0.2">
      <c r="D2373" s="1"/>
    </row>
    <row r="2374" spans="4:4" x14ac:dyDescent="0.2">
      <c r="D2374" s="1"/>
    </row>
    <row r="2375" spans="4:4" x14ac:dyDescent="0.2">
      <c r="D2375" s="1"/>
    </row>
    <row r="2376" spans="4:4" x14ac:dyDescent="0.2">
      <c r="D2376" s="1"/>
    </row>
    <row r="2377" spans="4:4" x14ac:dyDescent="0.2">
      <c r="D2377" s="1"/>
    </row>
    <row r="2378" spans="4:4" x14ac:dyDescent="0.2">
      <c r="D2378" s="1"/>
    </row>
    <row r="2379" spans="4:4" x14ac:dyDescent="0.2">
      <c r="D2379" s="1"/>
    </row>
    <row r="2380" spans="4:4" x14ac:dyDescent="0.2">
      <c r="D2380" s="1"/>
    </row>
    <row r="2381" spans="4:4" x14ac:dyDescent="0.2">
      <c r="D2381" s="1"/>
    </row>
    <row r="2383" spans="4:4" x14ac:dyDescent="0.2">
      <c r="D2383" s="1"/>
    </row>
    <row r="2384" spans="4:4" x14ac:dyDescent="0.2">
      <c r="D2384" s="1"/>
    </row>
    <row r="2385" spans="4:4" x14ac:dyDescent="0.2">
      <c r="D2385" s="1"/>
    </row>
    <row r="2386" spans="4:4" x14ac:dyDescent="0.2">
      <c r="D2386" s="1"/>
    </row>
    <row r="2387" spans="4:4" x14ac:dyDescent="0.2">
      <c r="D2387" s="1"/>
    </row>
    <row r="2389" spans="4:4" x14ac:dyDescent="0.2">
      <c r="D2389" s="1"/>
    </row>
    <row r="2391" spans="4:4" x14ac:dyDescent="0.2">
      <c r="D2391" s="1"/>
    </row>
    <row r="2393" spans="4:4" x14ac:dyDescent="0.2">
      <c r="D2393" s="1"/>
    </row>
    <row r="2394" spans="4:4" x14ac:dyDescent="0.2">
      <c r="D2394" s="1"/>
    </row>
    <row r="2396" spans="4:4" x14ac:dyDescent="0.2">
      <c r="D2396" s="1"/>
    </row>
    <row r="2397" spans="4:4" x14ac:dyDescent="0.2">
      <c r="D2397" s="1"/>
    </row>
    <row r="2403" spans="4:4" x14ac:dyDescent="0.2">
      <c r="D2403" s="1"/>
    </row>
    <row r="2405" spans="4:4" x14ac:dyDescent="0.2">
      <c r="D2405" s="1"/>
    </row>
    <row r="2407" spans="4:4" x14ac:dyDescent="0.2">
      <c r="D2407" s="1"/>
    </row>
    <row r="2411" spans="4:4" x14ac:dyDescent="0.2">
      <c r="D2411" s="1"/>
    </row>
    <row r="2428" spans="4:4" x14ac:dyDescent="0.2">
      <c r="D2428" s="1"/>
    </row>
    <row r="2431" spans="4:4" x14ac:dyDescent="0.2">
      <c r="D2431" s="1"/>
    </row>
    <row r="2447" spans="4:4" x14ac:dyDescent="0.2">
      <c r="D2447" s="1"/>
    </row>
  </sheetData>
  <mergeCells count="2">
    <mergeCell ref="A7:D7"/>
    <mergeCell ref="F7:H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20106-D437-4D28-A797-8D35D2B5F8D6}">
  <dimension ref="A2:H2447"/>
  <sheetViews>
    <sheetView topLeftCell="A216" workbookViewId="0">
      <selection activeCell="G9" sqref="G9:H257"/>
    </sheetView>
  </sheetViews>
  <sheetFormatPr baseColWidth="10" defaultColWidth="8.83203125" defaultRowHeight="15" x14ac:dyDescent="0.2"/>
  <cols>
    <col min="1" max="1" width="16.1640625" customWidth="1"/>
    <col min="2" max="2" width="17.33203125" customWidth="1"/>
    <col min="3" max="3" width="14" customWidth="1"/>
    <col min="4" max="4" width="15.1640625" customWidth="1"/>
    <col min="5" max="5" width="10.33203125" customWidth="1"/>
    <col min="6" max="6" width="13.6640625" customWidth="1"/>
    <col min="7" max="7" width="12.6640625" customWidth="1"/>
  </cols>
  <sheetData>
    <row r="2" spans="1:8" x14ac:dyDescent="0.2">
      <c r="B2" t="s">
        <v>22</v>
      </c>
    </row>
    <row r="3" spans="1:8" x14ac:dyDescent="0.2"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8" x14ac:dyDescent="0.2">
      <c r="C4" s="1">
        <f>'sample info summary'!B12*10^-6</f>
        <v>8.2700000000000004E-5</v>
      </c>
      <c r="D4">
        <f>'sample info summary'!C12</f>
        <v>4</v>
      </c>
      <c r="E4">
        <f>'sample info summary'!D12</f>
        <v>4</v>
      </c>
      <c r="F4">
        <f>'sample info summary'!E12</f>
        <v>1E-4</v>
      </c>
      <c r="G4" s="1">
        <f>(D4*E4*F4)*0.000000001</f>
        <v>1.6000000000000003E-12</v>
      </c>
    </row>
    <row r="7" spans="1:8" x14ac:dyDescent="0.2">
      <c r="A7" s="17" t="s">
        <v>9</v>
      </c>
      <c r="B7" s="17"/>
      <c r="C7" s="17"/>
      <c r="D7" s="17"/>
      <c r="F7" s="17" t="s">
        <v>10</v>
      </c>
      <c r="G7" s="17"/>
      <c r="H7" s="17"/>
    </row>
    <row r="8" spans="1:8" x14ac:dyDescent="0.2">
      <c r="A8" t="s">
        <v>11</v>
      </c>
      <c r="B8" t="s">
        <v>12</v>
      </c>
      <c r="C8" t="s">
        <v>13</v>
      </c>
      <c r="D8" t="s">
        <v>14</v>
      </c>
      <c r="F8" t="s">
        <v>16</v>
      </c>
      <c r="G8" t="s">
        <v>15</v>
      </c>
      <c r="H8" t="s">
        <v>17</v>
      </c>
    </row>
    <row r="9" spans="1:8" x14ac:dyDescent="0.2">
      <c r="A9">
        <v>293.15603637695301</v>
      </c>
      <c r="B9">
        <v>-0.39950311183929399</v>
      </c>
      <c r="C9" s="1">
        <v>1.1938310748845299E-5</v>
      </c>
      <c r="D9" s="1">
        <v>3.3510550600505699E-7</v>
      </c>
      <c r="F9">
        <f t="shared" ref="F9:F72" si="0">C9/1000</f>
        <v>1.1938310748845299E-8</v>
      </c>
      <c r="G9">
        <f t="shared" ref="G9:G72" si="1">(B9*1000)/(4*PI())</f>
        <v>-31.791447514908967</v>
      </c>
      <c r="H9">
        <f t="shared" ref="H9:H72" si="2">F9/$G$4</f>
        <v>7461.4442180283104</v>
      </c>
    </row>
    <row r="10" spans="1:8" x14ac:dyDescent="0.2">
      <c r="A10">
        <v>293.14582824707003</v>
      </c>
      <c r="B10">
        <v>1.06231504678726</v>
      </c>
      <c r="C10" s="1">
        <v>1.22296417886904E-5</v>
      </c>
      <c r="D10" s="1">
        <v>2.3295343432534601E-7</v>
      </c>
      <c r="F10">
        <f t="shared" si="0"/>
        <v>1.22296417886904E-8</v>
      </c>
      <c r="G10">
        <f t="shared" si="1"/>
        <v>84.536345408545245</v>
      </c>
      <c r="H10">
        <f t="shared" si="2"/>
        <v>7643.5261179314994</v>
      </c>
    </row>
    <row r="11" spans="1:8" x14ac:dyDescent="0.2">
      <c r="A11">
        <v>293.14192199707003</v>
      </c>
      <c r="B11">
        <v>1.0895538926124599</v>
      </c>
      <c r="C11" s="1">
        <v>1.1826817947233701E-5</v>
      </c>
      <c r="D11" s="1">
        <v>2.9901260659010398E-7</v>
      </c>
      <c r="F11">
        <f t="shared" si="0"/>
        <v>1.1826817947233701E-8</v>
      </c>
      <c r="G11">
        <f t="shared" si="1"/>
        <v>86.703943887144561</v>
      </c>
      <c r="H11">
        <f t="shared" si="2"/>
        <v>7391.7612170210623</v>
      </c>
    </row>
    <row r="12" spans="1:8" x14ac:dyDescent="0.2">
      <c r="A12">
        <v>293.13589477539102</v>
      </c>
      <c r="B12">
        <v>1.04415583610535</v>
      </c>
      <c r="C12" s="1">
        <v>1.2335377266842E-5</v>
      </c>
      <c r="D12" s="1">
        <v>3.9668613337690498E-7</v>
      </c>
      <c r="F12">
        <f t="shared" si="0"/>
        <v>1.2335377266841999E-8</v>
      </c>
      <c r="G12">
        <f t="shared" si="1"/>
        <v>83.091281337208699</v>
      </c>
      <c r="H12">
        <f t="shared" si="2"/>
        <v>7709.6107917762483</v>
      </c>
    </row>
    <row r="13" spans="1:8" x14ac:dyDescent="0.2">
      <c r="A13">
        <v>293.12908935546898</v>
      </c>
      <c r="B13">
        <v>1.4890570640564</v>
      </c>
      <c r="C13" s="1">
        <v>1.2464874482805601E-5</v>
      </c>
      <c r="D13" s="1">
        <v>3.09910835400381E-7</v>
      </c>
      <c r="F13">
        <f t="shared" si="0"/>
        <v>1.2464874482805601E-8</v>
      </c>
      <c r="G13">
        <f t="shared" si="1"/>
        <v>118.49539614524056</v>
      </c>
      <c r="H13">
        <f t="shared" si="2"/>
        <v>7790.5465517534994</v>
      </c>
    </row>
    <row r="14" spans="1:8" x14ac:dyDescent="0.2">
      <c r="A14">
        <v>293.12213134765602</v>
      </c>
      <c r="B14">
        <v>1.9611970782279999</v>
      </c>
      <c r="C14" s="1">
        <v>1.2547092596645101E-5</v>
      </c>
      <c r="D14" s="1">
        <v>3.1756272631419701E-7</v>
      </c>
      <c r="F14">
        <f t="shared" si="0"/>
        <v>1.2547092596645101E-8</v>
      </c>
      <c r="G14">
        <f t="shared" si="1"/>
        <v>156.06710468868437</v>
      </c>
      <c r="H14">
        <f t="shared" si="2"/>
        <v>7841.9328729031868</v>
      </c>
    </row>
    <row r="15" spans="1:8" x14ac:dyDescent="0.2">
      <c r="A15">
        <v>293.11560058593699</v>
      </c>
      <c r="B15">
        <v>2.7057255506515498</v>
      </c>
      <c r="C15" s="1">
        <v>1.165672817765E-5</v>
      </c>
      <c r="D15" s="1">
        <v>3.1388111927640499E-7</v>
      </c>
      <c r="F15">
        <f t="shared" si="0"/>
        <v>1.1656728177650001E-8</v>
      </c>
      <c r="G15">
        <f t="shared" si="1"/>
        <v>215.3147980181173</v>
      </c>
      <c r="H15">
        <f t="shared" si="2"/>
        <v>7285.4551110312495</v>
      </c>
    </row>
    <row r="16" spans="1:8" x14ac:dyDescent="0.2">
      <c r="A16">
        <v>293.10816955566401</v>
      </c>
      <c r="B16">
        <v>3.4048560857772801</v>
      </c>
      <c r="C16" s="1">
        <v>1.23467432434105E-5</v>
      </c>
      <c r="D16" s="1">
        <v>3.2431438868822799E-7</v>
      </c>
      <c r="F16">
        <f t="shared" si="0"/>
        <v>1.23467432434105E-8</v>
      </c>
      <c r="G16">
        <f t="shared" si="1"/>
        <v>270.94983828398824</v>
      </c>
      <c r="H16">
        <f t="shared" si="2"/>
        <v>7716.7145271315612</v>
      </c>
    </row>
    <row r="17" spans="1:8" x14ac:dyDescent="0.2">
      <c r="A17">
        <v>293.09948730468699</v>
      </c>
      <c r="B17">
        <v>4.1312255859375</v>
      </c>
      <c r="C17" s="1">
        <v>1.23853039053392E-5</v>
      </c>
      <c r="D17" s="1">
        <v>3.4588113459158799E-7</v>
      </c>
      <c r="F17">
        <f t="shared" si="0"/>
        <v>1.23853039053392E-8</v>
      </c>
      <c r="G17">
        <f t="shared" si="1"/>
        <v>328.75248651483241</v>
      </c>
      <c r="H17">
        <f t="shared" si="2"/>
        <v>7740.8149408369991</v>
      </c>
    </row>
    <row r="18" spans="1:8" x14ac:dyDescent="0.2">
      <c r="A18">
        <v>293.09260559082003</v>
      </c>
      <c r="B18">
        <v>5.7837154865264901</v>
      </c>
      <c r="C18" s="1">
        <v>1.25728071369862E-5</v>
      </c>
      <c r="D18" s="1">
        <v>2.8493182753990998E-7</v>
      </c>
      <c r="F18">
        <f t="shared" si="0"/>
        <v>1.2572807136986201E-8</v>
      </c>
      <c r="G18">
        <f t="shared" si="1"/>
        <v>460.25345455891863</v>
      </c>
      <c r="H18">
        <f t="shared" si="2"/>
        <v>7858.0044606163747</v>
      </c>
    </row>
    <row r="19" spans="1:8" x14ac:dyDescent="0.2">
      <c r="A19">
        <v>293.08596801757801</v>
      </c>
      <c r="B19">
        <v>7.1910557746887198</v>
      </c>
      <c r="C19" s="1">
        <v>1.2949697308521599E-5</v>
      </c>
      <c r="D19" s="1">
        <v>3.1529481638051501E-7</v>
      </c>
      <c r="F19">
        <f t="shared" si="0"/>
        <v>1.2949697308521599E-8</v>
      </c>
      <c r="G19">
        <f t="shared" si="1"/>
        <v>572.24603629561432</v>
      </c>
      <c r="H19">
        <f t="shared" si="2"/>
        <v>8093.5608178259981</v>
      </c>
    </row>
    <row r="20" spans="1:8" x14ac:dyDescent="0.2">
      <c r="A20">
        <v>293.07975769042997</v>
      </c>
      <c r="B20">
        <v>8.74366998672485</v>
      </c>
      <c r="C20" s="1">
        <v>1.29506713515779E-5</v>
      </c>
      <c r="D20" s="1">
        <v>2.6515254171780502E-7</v>
      </c>
      <c r="F20">
        <f t="shared" si="0"/>
        <v>1.29506713515779E-8</v>
      </c>
      <c r="G20">
        <f t="shared" si="1"/>
        <v>695.7991495757534</v>
      </c>
      <c r="H20">
        <f t="shared" si="2"/>
        <v>8094.1695947361859</v>
      </c>
    </row>
    <row r="21" spans="1:8" x14ac:dyDescent="0.2">
      <c r="A21">
        <v>293.07467651367199</v>
      </c>
      <c r="B21">
        <v>10.9318580627441</v>
      </c>
      <c r="C21" s="1">
        <v>1.3459087425701499E-5</v>
      </c>
      <c r="D21" s="1">
        <v>2.5834698351929901E-7</v>
      </c>
      <c r="F21">
        <f t="shared" si="0"/>
        <v>1.3459087425701499E-8</v>
      </c>
      <c r="G21">
        <f t="shared" si="1"/>
        <v>869.92962393235734</v>
      </c>
      <c r="H21">
        <f t="shared" si="2"/>
        <v>8411.9296410634361</v>
      </c>
    </row>
    <row r="22" spans="1:8" x14ac:dyDescent="0.2">
      <c r="A22">
        <v>293.06883239746099</v>
      </c>
      <c r="B22">
        <v>13.4923095703125</v>
      </c>
      <c r="C22" s="1">
        <v>1.3389492816429301E-5</v>
      </c>
      <c r="D22" s="1">
        <v>3.4935984815640901E-7</v>
      </c>
      <c r="F22">
        <f t="shared" si="0"/>
        <v>1.3389492816429301E-8</v>
      </c>
      <c r="G22">
        <f t="shared" si="1"/>
        <v>1073.6838809206604</v>
      </c>
      <c r="H22">
        <f t="shared" si="2"/>
        <v>8368.4330102683125</v>
      </c>
    </row>
    <row r="23" spans="1:8" x14ac:dyDescent="0.2">
      <c r="A23">
        <v>293.06408691406301</v>
      </c>
      <c r="B23">
        <v>16.6701755523682</v>
      </c>
      <c r="C23" s="1">
        <v>1.41660164808005E-5</v>
      </c>
      <c r="D23" s="1">
        <v>3.25007918652669E-7</v>
      </c>
      <c r="F23">
        <f t="shared" si="0"/>
        <v>1.4166016480800501E-8</v>
      </c>
      <c r="G23">
        <f t="shared" si="1"/>
        <v>1326.570420684533</v>
      </c>
      <c r="H23">
        <f t="shared" si="2"/>
        <v>8853.7603005003111</v>
      </c>
    </row>
    <row r="24" spans="1:8" x14ac:dyDescent="0.2">
      <c r="A24">
        <v>293.06034851074202</v>
      </c>
      <c r="B24">
        <v>20.3111009597778</v>
      </c>
      <c r="C24" s="1">
        <v>1.4963952068339201E-5</v>
      </c>
      <c r="D24" s="1">
        <v>3.4769259028897899E-7</v>
      </c>
      <c r="F24">
        <f t="shared" si="0"/>
        <v>1.4963952068339199E-8</v>
      </c>
      <c r="G24">
        <f t="shared" si="1"/>
        <v>1616.3060586935883</v>
      </c>
      <c r="H24">
        <f t="shared" si="2"/>
        <v>9352.4700427119988</v>
      </c>
    </row>
    <row r="25" spans="1:8" x14ac:dyDescent="0.2">
      <c r="A25">
        <v>293.05551147460898</v>
      </c>
      <c r="B25">
        <v>25.223174095153801</v>
      </c>
      <c r="C25" s="1">
        <v>1.50791753628422E-5</v>
      </c>
      <c r="D25" s="1">
        <v>3.0091799030385998E-7</v>
      </c>
      <c r="F25">
        <f t="shared" si="0"/>
        <v>1.5079175362842202E-8</v>
      </c>
      <c r="G25">
        <f t="shared" si="1"/>
        <v>2007.196418855586</v>
      </c>
      <c r="H25">
        <f t="shared" si="2"/>
        <v>9424.4846017763739</v>
      </c>
    </row>
    <row r="26" spans="1:8" x14ac:dyDescent="0.2">
      <c r="A26">
        <v>293.05158996582003</v>
      </c>
      <c r="B26">
        <v>30.961490631103501</v>
      </c>
      <c r="C26" s="1">
        <v>1.57617478611371E-5</v>
      </c>
      <c r="D26" s="1">
        <v>3.0798676419249402E-7</v>
      </c>
      <c r="F26">
        <f t="shared" si="0"/>
        <v>1.5761747861137099E-8</v>
      </c>
      <c r="G26">
        <f t="shared" si="1"/>
        <v>2463.8371397167643</v>
      </c>
      <c r="H26">
        <f t="shared" si="2"/>
        <v>9851.0924132106848</v>
      </c>
    </row>
    <row r="27" spans="1:8" x14ac:dyDescent="0.2">
      <c r="A27">
        <v>293.04811096191401</v>
      </c>
      <c r="B27">
        <v>38.288740158081097</v>
      </c>
      <c r="C27" s="1">
        <v>1.6485118611096001E-5</v>
      </c>
      <c r="D27" s="1">
        <v>3.4306732226485501E-7</v>
      </c>
      <c r="F27">
        <f t="shared" si="0"/>
        <v>1.6485118611096002E-8</v>
      </c>
      <c r="G27">
        <f t="shared" si="1"/>
        <v>3046.9211304598825</v>
      </c>
      <c r="H27">
        <f t="shared" si="2"/>
        <v>10303.199131935</v>
      </c>
    </row>
    <row r="28" spans="1:8" x14ac:dyDescent="0.2">
      <c r="A28">
        <v>293.04399108886702</v>
      </c>
      <c r="B28">
        <v>47.050571441650398</v>
      </c>
      <c r="C28" s="1">
        <v>1.7775144236833E-5</v>
      </c>
      <c r="D28" s="1">
        <v>2.8508739514292902E-7</v>
      </c>
      <c r="F28">
        <f t="shared" si="0"/>
        <v>1.7775144236833001E-8</v>
      </c>
      <c r="G28">
        <f t="shared" si="1"/>
        <v>3744.1655101185124</v>
      </c>
      <c r="H28">
        <f t="shared" si="2"/>
        <v>11109.465148020623</v>
      </c>
    </row>
    <row r="29" spans="1:8" x14ac:dyDescent="0.2">
      <c r="A29">
        <v>293.04043579101602</v>
      </c>
      <c r="B29">
        <v>58.173101425170898</v>
      </c>
      <c r="C29" s="1">
        <v>1.8914659983455401E-5</v>
      </c>
      <c r="D29" s="1">
        <v>2.85491592455497E-7</v>
      </c>
      <c r="F29">
        <f t="shared" si="0"/>
        <v>1.89146599834554E-8</v>
      </c>
      <c r="G29">
        <f t="shared" si="1"/>
        <v>4629.2683234010647</v>
      </c>
      <c r="H29">
        <f t="shared" si="2"/>
        <v>11821.662489659624</v>
      </c>
    </row>
    <row r="30" spans="1:8" x14ac:dyDescent="0.2">
      <c r="A30">
        <v>293.03839111328102</v>
      </c>
      <c r="B30">
        <v>71.556453704833999</v>
      </c>
      <c r="C30" s="1">
        <v>1.9939922083479599E-5</v>
      </c>
      <c r="D30" s="1">
        <v>2.8260728520813099E-7</v>
      </c>
      <c r="F30">
        <f t="shared" si="0"/>
        <v>1.9939922083479597E-8</v>
      </c>
      <c r="G30">
        <f t="shared" si="1"/>
        <v>5694.2816586253493</v>
      </c>
      <c r="H30">
        <f t="shared" si="2"/>
        <v>12462.451302174746</v>
      </c>
    </row>
    <row r="31" spans="1:8" x14ac:dyDescent="0.2">
      <c r="A31">
        <v>293.03475952148398</v>
      </c>
      <c r="B31">
        <v>88.235710144042997</v>
      </c>
      <c r="C31" s="1">
        <v>2.2316363447766899E-5</v>
      </c>
      <c r="D31" s="1">
        <v>3.4415928722494197E-7</v>
      </c>
      <c r="F31">
        <f t="shared" si="0"/>
        <v>2.2316363447766901E-8</v>
      </c>
      <c r="G31">
        <f t="shared" si="1"/>
        <v>7021.5747133240675</v>
      </c>
      <c r="H31">
        <f t="shared" si="2"/>
        <v>13947.72715485431</v>
      </c>
    </row>
    <row r="32" spans="1:8" x14ac:dyDescent="0.2">
      <c r="A32">
        <v>293.03189086914102</v>
      </c>
      <c r="B32">
        <v>108.501411437988</v>
      </c>
      <c r="C32" s="1">
        <v>2.5034998736261198E-5</v>
      </c>
      <c r="D32" s="1">
        <v>4.27808518303646E-7</v>
      </c>
      <c r="F32">
        <f t="shared" si="0"/>
        <v>2.5034998736261199E-8</v>
      </c>
      <c r="G32">
        <f t="shared" si="1"/>
        <v>8634.2679814016501</v>
      </c>
      <c r="H32">
        <f t="shared" si="2"/>
        <v>15646.874210163247</v>
      </c>
    </row>
    <row r="33" spans="1:8" x14ac:dyDescent="0.2">
      <c r="A33">
        <v>293.02874755859398</v>
      </c>
      <c r="B33">
        <v>133.77906799316401</v>
      </c>
      <c r="C33" s="1">
        <v>2.9230075320073901E-5</v>
      </c>
      <c r="D33" s="1">
        <v>3.2088316184947699E-7</v>
      </c>
      <c r="F33">
        <f t="shared" si="0"/>
        <v>2.92300753200739E-8</v>
      </c>
      <c r="G33">
        <f t="shared" si="1"/>
        <v>10645.799976669407</v>
      </c>
      <c r="H33">
        <f t="shared" si="2"/>
        <v>18268.797075046186</v>
      </c>
    </row>
    <row r="34" spans="1:8" x14ac:dyDescent="0.2">
      <c r="A34">
        <v>293.02546691894503</v>
      </c>
      <c r="B34">
        <v>164.56803894043</v>
      </c>
      <c r="C34" s="1">
        <v>3.3990768460909799E-5</v>
      </c>
      <c r="D34" s="1">
        <v>2.6854121131154602E-7</v>
      </c>
      <c r="F34">
        <f t="shared" si="0"/>
        <v>3.3990768460909797E-8</v>
      </c>
      <c r="G34">
        <f t="shared" si="1"/>
        <v>13095.908436154477</v>
      </c>
      <c r="H34">
        <f t="shared" si="2"/>
        <v>21244.230288068618</v>
      </c>
    </row>
    <row r="35" spans="1:8" x14ac:dyDescent="0.2">
      <c r="A35">
        <v>293.02165222167997</v>
      </c>
      <c r="B35">
        <v>202.60255432128901</v>
      </c>
      <c r="C35" s="1">
        <v>4.0595814610906E-5</v>
      </c>
      <c r="D35" s="1">
        <v>3.6417292004995998E-7</v>
      </c>
      <c r="F35">
        <f t="shared" si="0"/>
        <v>4.0595814610905998E-8</v>
      </c>
      <c r="G35">
        <f t="shared" si="1"/>
        <v>16122.599001638693</v>
      </c>
      <c r="H35">
        <f t="shared" si="2"/>
        <v>25372.384131816245</v>
      </c>
    </row>
    <row r="36" spans="1:8" x14ac:dyDescent="0.2">
      <c r="A36">
        <v>293.01942443847702</v>
      </c>
      <c r="B36">
        <v>249.13558959960901</v>
      </c>
      <c r="C36" s="1">
        <v>4.9645575964588302E-5</v>
      </c>
      <c r="D36" s="1">
        <v>2.6976682881432799E-7</v>
      </c>
      <c r="F36">
        <f t="shared" si="0"/>
        <v>4.9645575964588303E-8</v>
      </c>
      <c r="G36">
        <f t="shared" si="1"/>
        <v>19825.580292445782</v>
      </c>
      <c r="H36">
        <f t="shared" si="2"/>
        <v>31028.484977867683</v>
      </c>
    </row>
    <row r="37" spans="1:8" x14ac:dyDescent="0.2">
      <c r="A37">
        <v>293.01741027832003</v>
      </c>
      <c r="B37">
        <v>306.71852111816401</v>
      </c>
      <c r="C37" s="1">
        <v>6.1447195165297805E-5</v>
      </c>
      <c r="D37" s="1">
        <v>3.3622535252927602E-7</v>
      </c>
      <c r="F37">
        <f t="shared" si="0"/>
        <v>6.1447195165297805E-8</v>
      </c>
      <c r="G37">
        <f t="shared" si="1"/>
        <v>24407.884386895847</v>
      </c>
      <c r="H37">
        <f t="shared" si="2"/>
        <v>38404.496978311123</v>
      </c>
    </row>
    <row r="38" spans="1:8" x14ac:dyDescent="0.2">
      <c r="A38">
        <v>293.01490783691401</v>
      </c>
      <c r="B38">
        <v>377.85729980468699</v>
      </c>
      <c r="C38" s="1">
        <v>7.58612446371241E-5</v>
      </c>
      <c r="D38" s="1">
        <v>3.6057510968546502E-7</v>
      </c>
      <c r="F38">
        <f t="shared" si="0"/>
        <v>7.5861244637124106E-8</v>
      </c>
      <c r="G38">
        <f t="shared" si="1"/>
        <v>30068.928523636096</v>
      </c>
      <c r="H38">
        <f t="shared" si="2"/>
        <v>47413.277898202556</v>
      </c>
    </row>
    <row r="39" spans="1:8" x14ac:dyDescent="0.2">
      <c r="A39">
        <v>293.01232910156199</v>
      </c>
      <c r="B39">
        <v>465.49375915527298</v>
      </c>
      <c r="C39" s="1">
        <v>9.46099824307285E-5</v>
      </c>
      <c r="D39" s="1">
        <v>3.08568350269363E-7</v>
      </c>
      <c r="F39">
        <f t="shared" si="0"/>
        <v>9.4609982430728495E-8</v>
      </c>
      <c r="G39">
        <f t="shared" si="1"/>
        <v>37042.816373994952</v>
      </c>
      <c r="H39">
        <f t="shared" si="2"/>
        <v>59131.239019205299</v>
      </c>
    </row>
    <row r="40" spans="1:8" x14ac:dyDescent="0.2">
      <c r="A40">
        <v>293.00852966308599</v>
      </c>
      <c r="B40">
        <v>573.45947265625</v>
      </c>
      <c r="C40">
        <v>1.18227663996842E-4</v>
      </c>
      <c r="D40" s="1">
        <v>3.2406519746664798E-7</v>
      </c>
      <c r="F40">
        <f t="shared" si="0"/>
        <v>1.18227663996842E-7</v>
      </c>
      <c r="G40">
        <f t="shared" si="1"/>
        <v>45634.454868056891</v>
      </c>
      <c r="H40">
        <f t="shared" si="2"/>
        <v>73892.289998026245</v>
      </c>
    </row>
    <row r="41" spans="1:8" x14ac:dyDescent="0.2">
      <c r="A41">
        <v>293.00668334960898</v>
      </c>
      <c r="B41">
        <v>706.13079833984398</v>
      </c>
      <c r="C41">
        <v>1.47699438802528E-4</v>
      </c>
      <c r="D41" s="1">
        <v>3.1170108679295899E-7</v>
      </c>
      <c r="F41">
        <f t="shared" si="0"/>
        <v>1.4769943880252799E-7</v>
      </c>
      <c r="G41">
        <f t="shared" si="1"/>
        <v>56192.103512606249</v>
      </c>
      <c r="H41">
        <f t="shared" si="2"/>
        <v>92312.149251579976</v>
      </c>
    </row>
    <row r="42" spans="1:8" x14ac:dyDescent="0.2">
      <c r="A42">
        <v>293.00451660156199</v>
      </c>
      <c r="B42">
        <v>870.12683105468705</v>
      </c>
      <c r="C42">
        <v>1.7844926234685099E-4</v>
      </c>
      <c r="D42" s="1">
        <v>3.1108962043341301E-7</v>
      </c>
      <c r="F42">
        <f t="shared" si="0"/>
        <v>1.7844926234685098E-7</v>
      </c>
      <c r="G42">
        <f t="shared" si="1"/>
        <v>69242.493139619968</v>
      </c>
      <c r="H42">
        <f t="shared" si="2"/>
        <v>111530.78896678184</v>
      </c>
    </row>
    <row r="43" spans="1:8" x14ac:dyDescent="0.2">
      <c r="A43">
        <v>293.00207519531301</v>
      </c>
      <c r="B43">
        <v>1071.0405883789099</v>
      </c>
      <c r="C43">
        <v>2.1147796123438799E-4</v>
      </c>
      <c r="D43" s="1">
        <v>2.77415437726632E-7</v>
      </c>
      <c r="F43">
        <f t="shared" si="0"/>
        <v>2.1147796123438799E-7</v>
      </c>
      <c r="G43">
        <f t="shared" si="1"/>
        <v>85230.701946277753</v>
      </c>
      <c r="H43">
        <f t="shared" si="2"/>
        <v>132173.72577149246</v>
      </c>
    </row>
    <row r="44" spans="1:8" x14ac:dyDescent="0.2">
      <c r="A44">
        <v>293.00065612792997</v>
      </c>
      <c r="B44">
        <v>1319.24096679688</v>
      </c>
      <c r="C44">
        <v>2.4592971289754599E-4</v>
      </c>
      <c r="D44" s="1">
        <v>3.1977653544525197E-7</v>
      </c>
      <c r="F44">
        <f t="shared" si="0"/>
        <v>2.4592971289754602E-7</v>
      </c>
      <c r="G44">
        <f t="shared" si="1"/>
        <v>104981.8604975272</v>
      </c>
      <c r="H44">
        <f t="shared" si="2"/>
        <v>153706.07056096624</v>
      </c>
    </row>
    <row r="45" spans="1:8" x14ac:dyDescent="0.2">
      <c r="A45">
        <v>292.9990234375</v>
      </c>
      <c r="B45">
        <v>1624.7156372070301</v>
      </c>
      <c r="C45">
        <v>2.7831619995753298E-4</v>
      </c>
      <c r="D45" s="1">
        <v>2.9281611773237099E-7</v>
      </c>
      <c r="F45">
        <f t="shared" si="0"/>
        <v>2.78316199957533E-7</v>
      </c>
      <c r="G45">
        <f t="shared" si="1"/>
        <v>129290.76239009868</v>
      </c>
      <c r="H45">
        <f t="shared" si="2"/>
        <v>173947.62497345809</v>
      </c>
    </row>
    <row r="46" spans="1:8" x14ac:dyDescent="0.2">
      <c r="A46">
        <v>292.99832153320301</v>
      </c>
      <c r="B46">
        <v>2001.64672851562</v>
      </c>
      <c r="C46">
        <v>3.0914651265028501E-4</v>
      </c>
      <c r="D46" s="1">
        <v>3.4711770983946799E-7</v>
      </c>
      <c r="F46">
        <f t="shared" si="0"/>
        <v>3.0914651265028502E-7</v>
      </c>
      <c r="G46">
        <f t="shared" si="1"/>
        <v>159285.98558349101</v>
      </c>
      <c r="H46">
        <f t="shared" si="2"/>
        <v>193216.5704064281</v>
      </c>
    </row>
    <row r="47" spans="1:8" x14ac:dyDescent="0.2">
      <c r="A47">
        <v>292.99380493164102</v>
      </c>
      <c r="B47">
        <v>2464.42578125</v>
      </c>
      <c r="C47">
        <v>3.3877256020112598E-4</v>
      </c>
      <c r="D47" s="1">
        <v>3.05012312286495E-7</v>
      </c>
      <c r="F47">
        <f t="shared" si="0"/>
        <v>3.3877256020112599E-7</v>
      </c>
      <c r="G47">
        <f t="shared" si="1"/>
        <v>196112.77248452173</v>
      </c>
      <c r="H47">
        <f t="shared" si="2"/>
        <v>211732.8501257037</v>
      </c>
    </row>
    <row r="48" spans="1:8" x14ac:dyDescent="0.2">
      <c r="A48">
        <v>292.99130249023398</v>
      </c>
      <c r="B48">
        <v>3035.04321289063</v>
      </c>
      <c r="C48">
        <v>3.6630784420056E-4</v>
      </c>
      <c r="D48" s="1">
        <v>2.5501947465203999E-7</v>
      </c>
      <c r="F48">
        <f t="shared" si="0"/>
        <v>3.6630784420056E-7</v>
      </c>
      <c r="G48">
        <f t="shared" si="1"/>
        <v>241521.06491452572</v>
      </c>
      <c r="H48">
        <f t="shared" si="2"/>
        <v>228942.40262534996</v>
      </c>
    </row>
    <row r="49" spans="1:8" x14ac:dyDescent="0.2">
      <c r="A49">
        <v>292.99127197265602</v>
      </c>
      <c r="B49">
        <v>3738.13256835937</v>
      </c>
      <c r="C49">
        <v>3.9142723688886298E-4</v>
      </c>
      <c r="D49" s="1">
        <v>3.0877295772104401E-7</v>
      </c>
      <c r="F49">
        <f t="shared" si="0"/>
        <v>3.9142723688886297E-7</v>
      </c>
      <c r="G49">
        <f t="shared" si="1"/>
        <v>297471.13809359807</v>
      </c>
      <c r="H49">
        <f t="shared" si="2"/>
        <v>244642.02305553932</v>
      </c>
    </row>
    <row r="50" spans="1:8" x14ac:dyDescent="0.2">
      <c r="A50">
        <v>292.98892211914102</v>
      </c>
      <c r="B50">
        <v>4603.9919433593705</v>
      </c>
      <c r="C50">
        <v>4.11081955580389E-4</v>
      </c>
      <c r="D50" s="1">
        <v>3.6625492234455299E-7</v>
      </c>
      <c r="F50">
        <f t="shared" si="0"/>
        <v>4.1108195558038898E-7</v>
      </c>
      <c r="G50">
        <f t="shared" si="1"/>
        <v>366374.03787045262</v>
      </c>
      <c r="H50">
        <f t="shared" si="2"/>
        <v>256926.22223774309</v>
      </c>
    </row>
    <row r="51" spans="1:8" x14ac:dyDescent="0.2">
      <c r="A51">
        <v>292.98651123046898</v>
      </c>
      <c r="B51">
        <v>5669.2849121093705</v>
      </c>
      <c r="C51">
        <v>4.2570441765160297E-4</v>
      </c>
      <c r="D51" s="1">
        <v>3.5790714642193102E-7</v>
      </c>
      <c r="F51">
        <f t="shared" si="0"/>
        <v>4.2570441765160295E-7</v>
      </c>
      <c r="G51">
        <f t="shared" si="1"/>
        <v>451147.35877925385</v>
      </c>
      <c r="H51">
        <f t="shared" si="2"/>
        <v>266065.26103225182</v>
      </c>
    </row>
    <row r="52" spans="1:8" x14ac:dyDescent="0.2">
      <c r="A52">
        <v>292.98574829101602</v>
      </c>
      <c r="B52">
        <v>6982.0339355468705</v>
      </c>
      <c r="C52">
        <v>4.3401673723089202E-4</v>
      </c>
      <c r="D52" s="1">
        <v>3.3035085053962299E-7</v>
      </c>
      <c r="F52">
        <f t="shared" si="0"/>
        <v>4.3401673723089201E-7</v>
      </c>
      <c r="G52">
        <f t="shared" si="1"/>
        <v>555612.60683882213</v>
      </c>
      <c r="H52">
        <f t="shared" si="2"/>
        <v>271260.46076930745</v>
      </c>
    </row>
    <row r="53" spans="1:8" x14ac:dyDescent="0.2">
      <c r="A53">
        <v>292.98515319824202</v>
      </c>
      <c r="B53">
        <v>8598.9140625</v>
      </c>
      <c r="C53">
        <v>4.3679996612004999E-4</v>
      </c>
      <c r="D53" s="1">
        <v>4.1207784326957203E-7</v>
      </c>
      <c r="F53">
        <f t="shared" si="0"/>
        <v>4.3679996612005001E-7</v>
      </c>
      <c r="G53">
        <f t="shared" si="1"/>
        <v>684279.83913464309</v>
      </c>
      <c r="H53">
        <f t="shared" si="2"/>
        <v>272999.9788250312</v>
      </c>
    </row>
    <row r="54" spans="1:8" x14ac:dyDescent="0.2">
      <c r="A54">
        <v>292.98449707031301</v>
      </c>
      <c r="B54">
        <v>10589.892578125</v>
      </c>
      <c r="C54">
        <v>4.3221540975721498E-4</v>
      </c>
      <c r="D54" s="1">
        <v>3.5947571765373602E-7</v>
      </c>
      <c r="F54">
        <f t="shared" si="0"/>
        <v>4.3221540975721496E-7</v>
      </c>
      <c r="G54">
        <f t="shared" si="1"/>
        <v>842716.87531038467</v>
      </c>
      <c r="H54">
        <f t="shared" si="2"/>
        <v>270134.6310982593</v>
      </c>
    </row>
    <row r="55" spans="1:8" x14ac:dyDescent="0.2">
      <c r="A55">
        <v>292.98223876953102</v>
      </c>
      <c r="B55">
        <v>13041.307128906201</v>
      </c>
      <c r="C55">
        <v>4.2095968594713399E-4</v>
      </c>
      <c r="D55" s="1">
        <v>3.9509988824997901E-7</v>
      </c>
      <c r="F55">
        <f t="shared" si="0"/>
        <v>4.2095968594713398E-7</v>
      </c>
      <c r="G55">
        <f t="shared" si="1"/>
        <v>1037794.2469724978</v>
      </c>
      <c r="H55">
        <f t="shared" si="2"/>
        <v>263099.80371695868</v>
      </c>
    </row>
    <row r="56" spans="1:8" x14ac:dyDescent="0.2">
      <c r="A56">
        <v>292.98014831542997</v>
      </c>
      <c r="B56">
        <v>16060.869628906201</v>
      </c>
      <c r="C56">
        <v>3.98723827798783E-4</v>
      </c>
      <c r="D56" s="1">
        <v>5.3428165744249104E-7</v>
      </c>
      <c r="F56">
        <f t="shared" si="0"/>
        <v>3.9872382779878301E-7</v>
      </c>
      <c r="G56">
        <f t="shared" si="1"/>
        <v>1278083.3958974583</v>
      </c>
      <c r="H56">
        <f t="shared" si="2"/>
        <v>249202.39237423934</v>
      </c>
    </row>
    <row r="57" spans="1:8" x14ac:dyDescent="0.2">
      <c r="A57">
        <v>292.98039245605497</v>
      </c>
      <c r="B57">
        <v>19779.4169921875</v>
      </c>
      <c r="C57">
        <v>3.6541133554361102E-4</v>
      </c>
      <c r="D57" s="1">
        <v>5.0230024687911801E-7</v>
      </c>
      <c r="F57">
        <f t="shared" si="0"/>
        <v>3.6541133554361104E-7</v>
      </c>
      <c r="G57">
        <f t="shared" si="1"/>
        <v>1573995.9928912346</v>
      </c>
      <c r="H57">
        <f t="shared" si="2"/>
        <v>228382.08471475687</v>
      </c>
    </row>
    <row r="58" spans="1:8" x14ac:dyDescent="0.2">
      <c r="A58">
        <v>292.97828674316401</v>
      </c>
      <c r="B58">
        <v>24359.3125</v>
      </c>
      <c r="C58">
        <v>3.1643273131815101E-4</v>
      </c>
      <c r="D58" s="1">
        <v>7.19809156135552E-7</v>
      </c>
      <c r="F58">
        <f t="shared" si="0"/>
        <v>3.1643273131815102E-7</v>
      </c>
      <c r="G58">
        <f t="shared" si="1"/>
        <v>1938452.4973475975</v>
      </c>
      <c r="H58">
        <f t="shared" si="2"/>
        <v>197770.45707384436</v>
      </c>
    </row>
    <row r="59" spans="1:8" x14ac:dyDescent="0.2">
      <c r="A59">
        <v>292.97645568847702</v>
      </c>
      <c r="B59">
        <v>29999.5869140625</v>
      </c>
      <c r="C59">
        <v>2.4833935437552299E-4</v>
      </c>
      <c r="D59" s="1">
        <v>6.8770939970337796E-7</v>
      </c>
      <c r="F59">
        <f t="shared" si="0"/>
        <v>2.48339354375523E-7</v>
      </c>
      <c r="G59">
        <f t="shared" si="1"/>
        <v>2387291.2740439926</v>
      </c>
      <c r="H59">
        <f t="shared" si="2"/>
        <v>155212.09648470185</v>
      </c>
    </row>
    <row r="60" spans="1:8" x14ac:dyDescent="0.2">
      <c r="A60">
        <v>292.97840881347702</v>
      </c>
      <c r="B60">
        <v>24359.40234375</v>
      </c>
      <c r="C60">
        <v>3.1638210668928201E-4</v>
      </c>
      <c r="D60" s="1">
        <v>6.3879945361221599E-7</v>
      </c>
      <c r="F60">
        <f t="shared" si="0"/>
        <v>3.16382106689282E-7</v>
      </c>
      <c r="G60">
        <f t="shared" si="1"/>
        <v>1938459.6468860565</v>
      </c>
      <c r="H60">
        <f t="shared" si="2"/>
        <v>197738.81668080122</v>
      </c>
    </row>
    <row r="61" spans="1:8" x14ac:dyDescent="0.2">
      <c r="A61">
        <v>292.97611999511702</v>
      </c>
      <c r="B61">
        <v>19779.84375</v>
      </c>
      <c r="C61">
        <v>3.6672976494147902E-4</v>
      </c>
      <c r="D61" s="1">
        <v>5.11625007082305E-7</v>
      </c>
      <c r="F61">
        <f t="shared" si="0"/>
        <v>3.6672976494147902E-7</v>
      </c>
      <c r="G61">
        <f t="shared" si="1"/>
        <v>1574029.9531989158</v>
      </c>
      <c r="H61">
        <f t="shared" si="2"/>
        <v>229206.10308842434</v>
      </c>
    </row>
    <row r="62" spans="1:8" x14ac:dyDescent="0.2">
      <c r="A62">
        <v>292.97564697265602</v>
      </c>
      <c r="B62">
        <v>16060.796875</v>
      </c>
      <c r="C62">
        <v>4.01519121332749E-4</v>
      </c>
      <c r="D62" s="1">
        <v>4.7444001404725502E-7</v>
      </c>
      <c r="F62">
        <f t="shared" si="0"/>
        <v>4.01519121332749E-7</v>
      </c>
      <c r="G62">
        <f t="shared" si="1"/>
        <v>1278077.6063255577</v>
      </c>
      <c r="H62">
        <f t="shared" si="2"/>
        <v>250949.45083296808</v>
      </c>
    </row>
    <row r="63" spans="1:8" x14ac:dyDescent="0.2">
      <c r="A63">
        <v>292.97698974609398</v>
      </c>
      <c r="B63">
        <v>13041.442871093799</v>
      </c>
      <c r="C63">
        <v>4.24760685303714E-4</v>
      </c>
      <c r="D63" s="1">
        <v>5.17672721145707E-7</v>
      </c>
      <c r="F63">
        <f t="shared" si="0"/>
        <v>4.2476068530371398E-7</v>
      </c>
      <c r="G63">
        <f t="shared" si="1"/>
        <v>1037805.0489925689</v>
      </c>
      <c r="H63">
        <f t="shared" si="2"/>
        <v>265475.42831482121</v>
      </c>
    </row>
    <row r="64" spans="1:8" x14ac:dyDescent="0.2">
      <c r="A64">
        <v>292.97554016113298</v>
      </c>
      <c r="B64">
        <v>10590.2646484375</v>
      </c>
      <c r="C64">
        <v>4.38262243647155E-4</v>
      </c>
      <c r="D64" s="1">
        <v>3.9866803763923801E-7</v>
      </c>
      <c r="F64">
        <f t="shared" si="0"/>
        <v>4.3826224364715497E-7</v>
      </c>
      <c r="G64">
        <f t="shared" si="1"/>
        <v>842746.48372509063</v>
      </c>
      <c r="H64">
        <f t="shared" si="2"/>
        <v>273913.9022794718</v>
      </c>
    </row>
    <row r="65" spans="1:8" x14ac:dyDescent="0.2">
      <c r="A65">
        <v>292.97502136230497</v>
      </c>
      <c r="B65">
        <v>8599.2041015625</v>
      </c>
      <c r="C65">
        <v>4.4394881858078199E-4</v>
      </c>
      <c r="D65" s="1">
        <v>5.1382581520117403E-7</v>
      </c>
      <c r="F65">
        <f t="shared" si="0"/>
        <v>4.4394881858078201E-7</v>
      </c>
      <c r="G65">
        <f t="shared" si="1"/>
        <v>684302.91970988631</v>
      </c>
      <c r="H65">
        <f t="shared" si="2"/>
        <v>277468.01161298872</v>
      </c>
    </row>
    <row r="66" spans="1:8" x14ac:dyDescent="0.2">
      <c r="A66">
        <v>292.97624206542997</v>
      </c>
      <c r="B66">
        <v>6982.05224609375</v>
      </c>
      <c r="C66">
        <v>4.4317257427830398E-4</v>
      </c>
      <c r="D66" s="1">
        <v>3.2807632114927199E-7</v>
      </c>
      <c r="F66">
        <f t="shared" si="0"/>
        <v>4.4317257427830399E-7</v>
      </c>
      <c r="G66">
        <f t="shared" si="1"/>
        <v>555614.06394584547</v>
      </c>
      <c r="H66">
        <f t="shared" si="2"/>
        <v>276982.85892393993</v>
      </c>
    </row>
    <row r="67" spans="1:8" x14ac:dyDescent="0.2">
      <c r="A67">
        <v>292.97474670410202</v>
      </c>
      <c r="B67">
        <v>5669.5393066406295</v>
      </c>
      <c r="C67">
        <v>4.3649206227964202E-4</v>
      </c>
      <c r="D67" s="1">
        <v>3.5644512714753403E-7</v>
      </c>
      <c r="F67">
        <f t="shared" si="0"/>
        <v>4.3649206227964203E-7</v>
      </c>
      <c r="G67">
        <f t="shared" si="1"/>
        <v>451167.60285282659</v>
      </c>
      <c r="H67">
        <f t="shared" si="2"/>
        <v>272807.53892477625</v>
      </c>
    </row>
    <row r="68" spans="1:8" x14ac:dyDescent="0.2">
      <c r="A68">
        <v>292.97451782226602</v>
      </c>
      <c r="B68">
        <v>4603.4016113281205</v>
      </c>
      <c r="C68">
        <v>4.2494763702505798E-4</v>
      </c>
      <c r="D68" s="1">
        <v>3.6478475297459399E-7</v>
      </c>
      <c r="F68">
        <f t="shared" si="0"/>
        <v>4.24947637025058E-7</v>
      </c>
      <c r="G68">
        <f t="shared" si="1"/>
        <v>366327.06074003316</v>
      </c>
      <c r="H68">
        <f t="shared" si="2"/>
        <v>265592.27314066119</v>
      </c>
    </row>
    <row r="69" spans="1:8" x14ac:dyDescent="0.2">
      <c r="A69">
        <v>292.97549438476602</v>
      </c>
      <c r="B69">
        <v>3738.0325927734398</v>
      </c>
      <c r="C69">
        <v>4.0791460959024899E-4</v>
      </c>
      <c r="D69" s="1">
        <v>3.44533912533423E-7</v>
      </c>
      <c r="F69">
        <f t="shared" si="0"/>
        <v>4.0791460959024897E-7</v>
      </c>
      <c r="G69">
        <f t="shared" si="1"/>
        <v>297463.1822892534</v>
      </c>
      <c r="H69">
        <f t="shared" si="2"/>
        <v>254946.63099390556</v>
      </c>
    </row>
    <row r="70" spans="1:8" x14ac:dyDescent="0.2">
      <c r="A70">
        <v>292.97511291503901</v>
      </c>
      <c r="B70">
        <v>3035.1793212890602</v>
      </c>
      <c r="C70">
        <v>3.8858218744651198E-4</v>
      </c>
      <c r="D70" s="1">
        <v>3.7864385612851699E-7</v>
      </c>
      <c r="F70">
        <f t="shared" si="0"/>
        <v>3.8858218744651198E-7</v>
      </c>
      <c r="G70">
        <f t="shared" si="1"/>
        <v>241531.89607672894</v>
      </c>
      <c r="H70">
        <f t="shared" si="2"/>
        <v>242863.86715406994</v>
      </c>
    </row>
    <row r="71" spans="1:8" x14ac:dyDescent="0.2">
      <c r="A71">
        <v>292.97563171386702</v>
      </c>
      <c r="B71">
        <v>2464.298828125</v>
      </c>
      <c r="C71">
        <v>3.6572699170928102E-4</v>
      </c>
      <c r="D71" s="1">
        <v>3.8559397904803803E-7</v>
      </c>
      <c r="F71">
        <f t="shared" si="0"/>
        <v>3.6572699170928101E-7</v>
      </c>
      <c r="G71">
        <f t="shared" si="1"/>
        <v>196102.66987582936</v>
      </c>
      <c r="H71">
        <f t="shared" si="2"/>
        <v>228579.36981830059</v>
      </c>
    </row>
    <row r="72" spans="1:8" x14ac:dyDescent="0.2">
      <c r="A72">
        <v>292.97546386718801</v>
      </c>
      <c r="B72">
        <v>2000.75695800781</v>
      </c>
      <c r="C72">
        <v>3.4260951778558401E-4</v>
      </c>
      <c r="D72" s="1">
        <v>2.8784045428000503E-7</v>
      </c>
      <c r="F72">
        <f t="shared" si="0"/>
        <v>3.4260951778558401E-7</v>
      </c>
      <c r="G72">
        <f t="shared" si="1"/>
        <v>159215.1798962233</v>
      </c>
      <c r="H72">
        <f t="shared" si="2"/>
        <v>214130.94861598997</v>
      </c>
    </row>
    <row r="73" spans="1:8" x14ac:dyDescent="0.2">
      <c r="A73">
        <v>292.97525024414102</v>
      </c>
      <c r="B73">
        <v>1624.39782714844</v>
      </c>
      <c r="C73">
        <v>3.1893301643863602E-4</v>
      </c>
      <c r="D73" s="1">
        <v>3.8978868801120101E-7</v>
      </c>
      <c r="F73">
        <f t="shared" ref="F73:F136" si="3">C73/1000</f>
        <v>3.18933016438636E-7</v>
      </c>
      <c r="G73">
        <f t="shared" ref="G73:G136" si="4">(B73*1000)/(4*PI())</f>
        <v>129265.47186920421</v>
      </c>
      <c r="H73">
        <f t="shared" ref="H73:H136" si="5">F73/$G$4</f>
        <v>199333.13527414747</v>
      </c>
    </row>
    <row r="74" spans="1:8" x14ac:dyDescent="0.2">
      <c r="A74">
        <v>292.97525024414102</v>
      </c>
      <c r="B74">
        <v>1319.05944824219</v>
      </c>
      <c r="C74">
        <v>2.9545139971850999E-4</v>
      </c>
      <c r="D74" s="1">
        <v>3.1802012207833001E-7</v>
      </c>
      <c r="F74">
        <f t="shared" si="3"/>
        <v>2.9545139971851E-7</v>
      </c>
      <c r="G74">
        <f t="shared" si="4"/>
        <v>104967.41570990632</v>
      </c>
      <c r="H74">
        <f t="shared" si="5"/>
        <v>184657.12482406871</v>
      </c>
    </row>
    <row r="75" spans="1:8" x14ac:dyDescent="0.2">
      <c r="A75">
        <v>292.97528076171898</v>
      </c>
      <c r="B75">
        <v>1071.03149414062</v>
      </c>
      <c r="C75">
        <v>2.7390060258836499E-4</v>
      </c>
      <c r="D75" s="1">
        <v>3.2199211364382199E-7</v>
      </c>
      <c r="F75">
        <f t="shared" si="3"/>
        <v>2.7390060258836502E-7</v>
      </c>
      <c r="G75">
        <f t="shared" si="4"/>
        <v>85229.978249789012</v>
      </c>
      <c r="H75">
        <f t="shared" si="5"/>
        <v>171187.87661772812</v>
      </c>
    </row>
    <row r="76" spans="1:8" x14ac:dyDescent="0.2">
      <c r="A76">
        <v>292.97546386718801</v>
      </c>
      <c r="B76">
        <v>869.85446166992199</v>
      </c>
      <c r="C76">
        <v>2.5239021447621198E-4</v>
      </c>
      <c r="D76" s="1">
        <v>2.6952862642450602E-7</v>
      </c>
      <c r="F76">
        <f t="shared" si="3"/>
        <v>2.5239021447621196E-7</v>
      </c>
      <c r="G76">
        <f t="shared" si="4"/>
        <v>69220.818672653841</v>
      </c>
      <c r="H76">
        <f t="shared" si="5"/>
        <v>157743.88404763245</v>
      </c>
    </row>
    <row r="77" spans="1:8" x14ac:dyDescent="0.2">
      <c r="A77">
        <v>292.97593688964798</v>
      </c>
      <c r="B77">
        <v>706.13082885742199</v>
      </c>
      <c r="C77">
        <v>2.33048408672491E-4</v>
      </c>
      <c r="D77" s="1">
        <v>3.44053023799749E-7</v>
      </c>
      <c r="F77">
        <f t="shared" si="3"/>
        <v>2.3304840867249099E-7</v>
      </c>
      <c r="G77">
        <f t="shared" si="4"/>
        <v>56192.105941117945</v>
      </c>
      <c r="H77">
        <f t="shared" si="5"/>
        <v>145655.25542030684</v>
      </c>
    </row>
    <row r="78" spans="1:8" x14ac:dyDescent="0.2">
      <c r="A78">
        <v>292.97619628906301</v>
      </c>
      <c r="B78">
        <v>573.40499877929699</v>
      </c>
      <c r="C78">
        <v>2.1523007351857999E-4</v>
      </c>
      <c r="D78" s="1">
        <v>3.3225025717194801E-7</v>
      </c>
      <c r="F78">
        <f t="shared" si="3"/>
        <v>2.1523007351857999E-7</v>
      </c>
      <c r="G78">
        <f t="shared" si="4"/>
        <v>45630.119974663663</v>
      </c>
      <c r="H78">
        <f t="shared" si="5"/>
        <v>134518.79594911248</v>
      </c>
    </row>
    <row r="79" spans="1:8" x14ac:dyDescent="0.2">
      <c r="A79">
        <v>292.97491455078102</v>
      </c>
      <c r="B79">
        <v>465.46652221679699</v>
      </c>
      <c r="C79">
        <v>1.9794635043984899E-4</v>
      </c>
      <c r="D79" s="1">
        <v>3.3025281469890502E-7</v>
      </c>
      <c r="F79">
        <f t="shared" si="3"/>
        <v>1.9794635043984898E-7</v>
      </c>
      <c r="G79">
        <f t="shared" si="4"/>
        <v>37040.648927298382</v>
      </c>
      <c r="H79">
        <f t="shared" si="5"/>
        <v>123716.46902490559</v>
      </c>
    </row>
    <row r="80" spans="1:8" x14ac:dyDescent="0.2">
      <c r="A80">
        <v>292.97425842285202</v>
      </c>
      <c r="B80">
        <v>378.04798889160202</v>
      </c>
      <c r="C80">
        <v>1.8554084758941699E-4</v>
      </c>
      <c r="D80" s="1">
        <v>3.2450540343409601E-7</v>
      </c>
      <c r="F80">
        <f t="shared" si="3"/>
        <v>1.8554084758941699E-7</v>
      </c>
      <c r="G80">
        <f t="shared" si="4"/>
        <v>30084.1030790242</v>
      </c>
      <c r="H80">
        <f t="shared" si="5"/>
        <v>115963.0297433856</v>
      </c>
    </row>
    <row r="81" spans="1:8" x14ac:dyDescent="0.2">
      <c r="A81">
        <v>292.97607421875</v>
      </c>
      <c r="B81">
        <v>306.67312622070301</v>
      </c>
      <c r="C81">
        <v>1.73301300814794E-4</v>
      </c>
      <c r="D81" s="1">
        <v>3.5573228874778701E-7</v>
      </c>
      <c r="F81">
        <f t="shared" si="3"/>
        <v>1.73301300814794E-7</v>
      </c>
      <c r="G81">
        <f t="shared" si="4"/>
        <v>24404.271975734813</v>
      </c>
      <c r="H81">
        <f t="shared" si="5"/>
        <v>108313.31300924624</v>
      </c>
    </row>
    <row r="82" spans="1:8" x14ac:dyDescent="0.2">
      <c r="A82">
        <v>292.97579956054699</v>
      </c>
      <c r="B82">
        <v>248.86319732666001</v>
      </c>
      <c r="C82">
        <v>1.61305919002658E-4</v>
      </c>
      <c r="D82" s="1">
        <v>3.8882860651749303E-7</v>
      </c>
      <c r="F82">
        <f t="shared" si="3"/>
        <v>1.6130591900265802E-7</v>
      </c>
      <c r="G82">
        <f t="shared" si="4"/>
        <v>19803.904004095846</v>
      </c>
      <c r="H82">
        <f t="shared" si="5"/>
        <v>100816.19937666124</v>
      </c>
    </row>
    <row r="83" spans="1:8" x14ac:dyDescent="0.2">
      <c r="A83">
        <v>292.97566223144503</v>
      </c>
      <c r="B83">
        <v>202.23029327392601</v>
      </c>
      <c r="C83">
        <v>1.5321958283156999E-4</v>
      </c>
      <c r="D83" s="1">
        <v>3.9994179993044402E-7</v>
      </c>
      <c r="F83">
        <f t="shared" si="3"/>
        <v>1.5321958283157E-7</v>
      </c>
      <c r="G83">
        <f t="shared" si="4"/>
        <v>16092.975408734501</v>
      </c>
      <c r="H83">
        <f t="shared" si="5"/>
        <v>95762.239269731232</v>
      </c>
    </row>
    <row r="84" spans="1:8" x14ac:dyDescent="0.2">
      <c r="A84">
        <v>292.97640991210898</v>
      </c>
      <c r="B84">
        <v>164.01419067382801</v>
      </c>
      <c r="C84">
        <v>1.4448087030664199E-4</v>
      </c>
      <c r="D84" s="1">
        <v>4.0074675987146401E-7</v>
      </c>
      <c r="F84">
        <f t="shared" si="3"/>
        <v>1.4448087030664198E-7</v>
      </c>
      <c r="G84">
        <f t="shared" si="4"/>
        <v>13051.834591478184</v>
      </c>
      <c r="H84">
        <f t="shared" si="5"/>
        <v>90300.543941651224</v>
      </c>
    </row>
    <row r="85" spans="1:8" x14ac:dyDescent="0.2">
      <c r="A85">
        <v>292.97601318359398</v>
      </c>
      <c r="B85">
        <v>133.48851776123001</v>
      </c>
      <c r="C85">
        <v>1.3759360419910799E-4</v>
      </c>
      <c r="D85" s="1">
        <v>2.63487163540889E-7</v>
      </c>
      <c r="F85">
        <f t="shared" si="3"/>
        <v>1.3759360419910799E-7</v>
      </c>
      <c r="G85">
        <f t="shared" si="4"/>
        <v>10622.678723855011</v>
      </c>
      <c r="H85">
        <f t="shared" si="5"/>
        <v>85996.002624442481</v>
      </c>
    </row>
    <row r="86" spans="1:8" x14ac:dyDescent="0.2">
      <c r="A86">
        <v>292.97650146484398</v>
      </c>
      <c r="B86">
        <v>108.337978363037</v>
      </c>
      <c r="C86">
        <v>1.3193622302098301E-4</v>
      </c>
      <c r="D86" s="1">
        <v>3.57087264369515E-7</v>
      </c>
      <c r="F86">
        <f t="shared" si="3"/>
        <v>1.31936223020983E-7</v>
      </c>
      <c r="G86">
        <f t="shared" si="4"/>
        <v>8621.2623905300716</v>
      </c>
      <c r="H86">
        <f t="shared" si="5"/>
        <v>82460.139388114359</v>
      </c>
    </row>
    <row r="87" spans="1:8" x14ac:dyDescent="0.2">
      <c r="A87">
        <v>292.9755859375</v>
      </c>
      <c r="B87">
        <v>87.963325500488295</v>
      </c>
      <c r="C87">
        <v>1.25957692502431E-4</v>
      </c>
      <c r="D87" s="1">
        <v>3.61081341492329E-7</v>
      </c>
      <c r="F87">
        <f t="shared" si="3"/>
        <v>1.25957692502431E-7</v>
      </c>
      <c r="G87">
        <f t="shared" si="4"/>
        <v>6999.8990321020401</v>
      </c>
      <c r="H87">
        <f t="shared" si="5"/>
        <v>78723.557814019368</v>
      </c>
    </row>
    <row r="88" spans="1:8" x14ac:dyDescent="0.2">
      <c r="A88">
        <v>292.9755859375</v>
      </c>
      <c r="B88">
        <v>71.075237274169893</v>
      </c>
      <c r="C88">
        <v>1.22002035763764E-4</v>
      </c>
      <c r="D88" s="1">
        <v>3.4381649675993198E-7</v>
      </c>
      <c r="F88">
        <f t="shared" si="3"/>
        <v>1.22002035763764E-7</v>
      </c>
      <c r="G88">
        <f t="shared" si="4"/>
        <v>5655.9876718067344</v>
      </c>
      <c r="H88">
        <f t="shared" si="5"/>
        <v>76251.272352352491</v>
      </c>
    </row>
    <row r="89" spans="1:8" x14ac:dyDescent="0.2">
      <c r="A89">
        <v>292.97488403320301</v>
      </c>
      <c r="B89">
        <v>57.582927703857401</v>
      </c>
      <c r="C89">
        <v>1.18828468062075E-4</v>
      </c>
      <c r="D89" s="1">
        <v>3.4309213421988498E-7</v>
      </c>
      <c r="F89">
        <f t="shared" si="3"/>
        <v>1.18828468062075E-7</v>
      </c>
      <c r="G89">
        <f t="shared" si="4"/>
        <v>4582.3037908860742</v>
      </c>
      <c r="H89">
        <f t="shared" si="5"/>
        <v>74267.792538796857</v>
      </c>
    </row>
    <row r="90" spans="1:8" x14ac:dyDescent="0.2">
      <c r="A90">
        <v>292.97677612304699</v>
      </c>
      <c r="B90">
        <v>46.769102096557603</v>
      </c>
      <c r="C90">
        <v>1.1537107890677E-4</v>
      </c>
      <c r="D90" s="1">
        <v>3.0056028127042601E-7</v>
      </c>
      <c r="F90">
        <f t="shared" si="3"/>
        <v>1.1537107890677E-7</v>
      </c>
      <c r="G90">
        <f t="shared" si="4"/>
        <v>3721.7668913183343</v>
      </c>
      <c r="H90">
        <f t="shared" si="5"/>
        <v>72106.924316731238</v>
      </c>
    </row>
    <row r="91" spans="1:8" x14ac:dyDescent="0.2">
      <c r="A91">
        <v>292.97738647460898</v>
      </c>
      <c r="B91">
        <v>37.743965148925803</v>
      </c>
      <c r="C91">
        <v>1.12352309376344E-4</v>
      </c>
      <c r="D91" s="1">
        <v>3.8038481585921002E-7</v>
      </c>
      <c r="F91">
        <f t="shared" si="3"/>
        <v>1.12352309376344E-7</v>
      </c>
      <c r="G91">
        <f t="shared" si="4"/>
        <v>3003.5693126698839</v>
      </c>
      <c r="H91">
        <f t="shared" si="5"/>
        <v>70220.193360214995</v>
      </c>
    </row>
    <row r="92" spans="1:8" x14ac:dyDescent="0.2">
      <c r="A92">
        <v>292.97589111328102</v>
      </c>
      <c r="B92">
        <v>30.761739730835</v>
      </c>
      <c r="C92">
        <v>1.10076362002836E-4</v>
      </c>
      <c r="D92" s="1">
        <v>3.42497864058564E-7</v>
      </c>
      <c r="F92">
        <f t="shared" si="3"/>
        <v>1.10076362002836E-7</v>
      </c>
      <c r="G92">
        <f t="shared" si="4"/>
        <v>2447.9414681343701</v>
      </c>
      <c r="H92">
        <f t="shared" si="5"/>
        <v>68797.726251772488</v>
      </c>
    </row>
    <row r="93" spans="1:8" x14ac:dyDescent="0.2">
      <c r="A93">
        <v>292.97579956054699</v>
      </c>
      <c r="B93">
        <v>24.8145914077759</v>
      </c>
      <c r="C93">
        <v>1.08921013291706E-4</v>
      </c>
      <c r="D93" s="1">
        <v>2.27476569805594E-7</v>
      </c>
      <c r="F93">
        <f t="shared" si="3"/>
        <v>1.08921013291706E-7</v>
      </c>
      <c r="G93">
        <f t="shared" si="4"/>
        <v>1974.6824416766044</v>
      </c>
      <c r="H93">
        <f t="shared" si="5"/>
        <v>68075.633307316239</v>
      </c>
    </row>
    <row r="94" spans="1:8" x14ac:dyDescent="0.2">
      <c r="A94">
        <v>292.97525024414102</v>
      </c>
      <c r="B94">
        <v>20.1204290390015</v>
      </c>
      <c r="C94">
        <v>1.07133672627855E-4</v>
      </c>
      <c r="D94" s="1">
        <v>4.2167679732953402E-7</v>
      </c>
      <c r="F94">
        <f t="shared" si="3"/>
        <v>1.0713367262785501E-7</v>
      </c>
      <c r="G94">
        <f t="shared" si="4"/>
        <v>1601.1328693434011</v>
      </c>
      <c r="H94">
        <f t="shared" si="5"/>
        <v>66958.545392409374</v>
      </c>
    </row>
    <row r="95" spans="1:8" x14ac:dyDescent="0.2">
      <c r="A95">
        <v>292.97695922851602</v>
      </c>
      <c r="B95">
        <v>16.098159790039102</v>
      </c>
      <c r="C95">
        <v>1.0504406748494001E-4</v>
      </c>
      <c r="D95" s="1">
        <v>2.94653425260554E-7</v>
      </c>
      <c r="F95">
        <f t="shared" si="3"/>
        <v>1.0504406748494001E-7</v>
      </c>
      <c r="G95">
        <f t="shared" si="4"/>
        <v>1281.0508526339554</v>
      </c>
      <c r="H95">
        <f t="shared" si="5"/>
        <v>65652.542178087489</v>
      </c>
    </row>
    <row r="96" spans="1:8" x14ac:dyDescent="0.2">
      <c r="A96">
        <v>292.97618103027298</v>
      </c>
      <c r="B96">
        <v>13.002010345459</v>
      </c>
      <c r="C96">
        <v>1.0445779214081799E-4</v>
      </c>
      <c r="D96" s="1">
        <v>3.2752328791114802E-7</v>
      </c>
      <c r="F96">
        <f t="shared" si="3"/>
        <v>1.0445779214081799E-7</v>
      </c>
      <c r="G96">
        <f t="shared" si="4"/>
        <v>1034.6671083058809</v>
      </c>
      <c r="H96">
        <f t="shared" si="5"/>
        <v>65286.120088011237</v>
      </c>
    </row>
    <row r="97" spans="1:8" x14ac:dyDescent="0.2">
      <c r="A97">
        <v>292.97660827636702</v>
      </c>
      <c r="B97">
        <v>10.468797206878699</v>
      </c>
      <c r="C97">
        <v>1.03792142435027E-4</v>
      </c>
      <c r="D97" s="1">
        <v>2.25218181158848E-7</v>
      </c>
      <c r="F97">
        <f t="shared" si="3"/>
        <v>1.03792142435027E-7</v>
      </c>
      <c r="G97">
        <f t="shared" si="4"/>
        <v>833.08041185068623</v>
      </c>
      <c r="H97">
        <f t="shared" si="5"/>
        <v>64870.089021891865</v>
      </c>
    </row>
    <row r="98" spans="1:8" x14ac:dyDescent="0.2">
      <c r="A98">
        <v>292.97483825683599</v>
      </c>
      <c r="B98">
        <v>8.2806100845336896</v>
      </c>
      <c r="C98">
        <v>1.02759353806319E-4</v>
      </c>
      <c r="D98" s="1">
        <v>2.7797379927890901E-7</v>
      </c>
      <c r="F98">
        <f t="shared" si="3"/>
        <v>1.02759353806319E-7</v>
      </c>
      <c r="G98">
        <f t="shared" si="4"/>
        <v>658.950013385067</v>
      </c>
      <c r="H98">
        <f t="shared" si="5"/>
        <v>64224.596128949364</v>
      </c>
    </row>
    <row r="99" spans="1:8" x14ac:dyDescent="0.2">
      <c r="A99">
        <v>292.97489929199202</v>
      </c>
      <c r="B99">
        <v>7.8992660045623797</v>
      </c>
      <c r="C99">
        <v>1.02618195124668E-4</v>
      </c>
      <c r="D99" s="1">
        <v>3.6161332686792498E-7</v>
      </c>
      <c r="F99">
        <f t="shared" si="3"/>
        <v>1.02618195124668E-7</v>
      </c>
      <c r="G99">
        <f t="shared" si="4"/>
        <v>628.60361571193448</v>
      </c>
      <c r="H99">
        <f t="shared" si="5"/>
        <v>64136.371952917485</v>
      </c>
    </row>
    <row r="100" spans="1:8" x14ac:dyDescent="0.2">
      <c r="A100">
        <v>292.97618103027298</v>
      </c>
      <c r="B100">
        <v>5.2116994857788104</v>
      </c>
      <c r="C100">
        <v>1.00833047196936E-4</v>
      </c>
      <c r="D100" s="1">
        <v>3.22010750401038E-7</v>
      </c>
      <c r="F100">
        <f t="shared" si="3"/>
        <v>1.0083304719693601E-7</v>
      </c>
      <c r="G100">
        <f t="shared" si="4"/>
        <v>414.73386753559339</v>
      </c>
      <c r="H100">
        <f t="shared" si="5"/>
        <v>63020.654498084994</v>
      </c>
    </row>
    <row r="101" spans="1:8" x14ac:dyDescent="0.2">
      <c r="A101">
        <v>292.97668457031301</v>
      </c>
      <c r="B101">
        <v>5.2843368053436297</v>
      </c>
      <c r="C101">
        <v>1.00443132573517E-4</v>
      </c>
      <c r="D101" s="1">
        <v>3.5308424003857998E-7</v>
      </c>
      <c r="F101">
        <f t="shared" si="3"/>
        <v>1.0044313257351699E-7</v>
      </c>
      <c r="G101">
        <f t="shared" si="4"/>
        <v>420.5141617664367</v>
      </c>
      <c r="H101">
        <f t="shared" si="5"/>
        <v>62776.957858448113</v>
      </c>
    </row>
    <row r="102" spans="1:8" x14ac:dyDescent="0.2">
      <c r="A102">
        <v>292.97691345214798</v>
      </c>
      <c r="B102">
        <v>3.3685376644134499</v>
      </c>
      <c r="C102">
        <v>1.0012248260753101E-4</v>
      </c>
      <c r="D102" s="1">
        <v>3.0766925245098002E-7</v>
      </c>
      <c r="F102">
        <f t="shared" si="3"/>
        <v>1.0012248260753101E-7</v>
      </c>
      <c r="G102">
        <f t="shared" si="4"/>
        <v>268.05971014131433</v>
      </c>
      <c r="H102">
        <f t="shared" si="5"/>
        <v>62576.551629706868</v>
      </c>
    </row>
    <row r="103" spans="1:8" x14ac:dyDescent="0.2">
      <c r="A103">
        <v>292.97607421875</v>
      </c>
      <c r="B103">
        <v>3.4048559665679901</v>
      </c>
      <c r="C103" s="1">
        <v>9.9851506803688104E-5</v>
      </c>
      <c r="D103" s="1">
        <v>3.1066333031168199E-7</v>
      </c>
      <c r="F103">
        <f t="shared" si="3"/>
        <v>9.9851506803688108E-8</v>
      </c>
      <c r="G103">
        <f t="shared" si="4"/>
        <v>270.94982879761437</v>
      </c>
      <c r="H103">
        <f t="shared" si="5"/>
        <v>62407.191752305058</v>
      </c>
    </row>
    <row r="104" spans="1:8" x14ac:dyDescent="0.2">
      <c r="A104">
        <v>292.97554016113298</v>
      </c>
      <c r="B104">
        <v>3.35945796966553</v>
      </c>
      <c r="C104" s="1">
        <v>9.9487771530983E-5</v>
      </c>
      <c r="D104" s="1">
        <v>3.1029470190808403E-7</v>
      </c>
      <c r="F104">
        <f t="shared" si="3"/>
        <v>9.9487771530982998E-8</v>
      </c>
      <c r="G104">
        <f t="shared" si="4"/>
        <v>267.33717099086584</v>
      </c>
      <c r="H104">
        <f t="shared" si="5"/>
        <v>62179.857206864363</v>
      </c>
    </row>
    <row r="105" spans="1:8" x14ac:dyDescent="0.2">
      <c r="A105">
        <v>292.97509765625</v>
      </c>
      <c r="B105">
        <v>2.6784867048263501</v>
      </c>
      <c r="C105" s="1">
        <v>9.9342337423501302E-5</v>
      </c>
      <c r="D105" s="1">
        <v>3.4677451461699001E-7</v>
      </c>
      <c r="F105">
        <f t="shared" si="3"/>
        <v>9.9342337423501302E-8</v>
      </c>
      <c r="G105">
        <f t="shared" si="4"/>
        <v>213.147199539518</v>
      </c>
      <c r="H105">
        <f t="shared" si="5"/>
        <v>62088.960889688307</v>
      </c>
    </row>
    <row r="106" spans="1:8" x14ac:dyDescent="0.2">
      <c r="A106">
        <v>292.97564697265602</v>
      </c>
      <c r="B106">
        <v>2.11555051803589</v>
      </c>
      <c r="C106" s="1">
        <v>9.8547760275954894E-5</v>
      </c>
      <c r="D106" s="1">
        <v>2.9425920828853698E-7</v>
      </c>
      <c r="F106">
        <f t="shared" si="3"/>
        <v>9.8547760275954897E-8</v>
      </c>
      <c r="G106">
        <f t="shared" si="4"/>
        <v>168.3501611530159</v>
      </c>
      <c r="H106">
        <f t="shared" si="5"/>
        <v>61592.350172471801</v>
      </c>
    </row>
    <row r="107" spans="1:8" x14ac:dyDescent="0.2">
      <c r="A107">
        <v>292.97508239746099</v>
      </c>
      <c r="B107">
        <v>1.7614455819129899</v>
      </c>
      <c r="C107" s="1">
        <v>9.7989768580163705E-5</v>
      </c>
      <c r="D107" s="1">
        <v>3.38067549655551E-7</v>
      </c>
      <c r="F107">
        <f t="shared" si="3"/>
        <v>9.7989768580163701E-8</v>
      </c>
      <c r="G107">
        <f t="shared" si="4"/>
        <v>140.1713856744162</v>
      </c>
      <c r="H107">
        <f t="shared" si="5"/>
        <v>61243.605362602306</v>
      </c>
    </row>
    <row r="108" spans="1:8" x14ac:dyDescent="0.2">
      <c r="A108">
        <v>292.97679138183599</v>
      </c>
      <c r="B108">
        <v>1.72512704133987</v>
      </c>
      <c r="C108" s="1">
        <v>9.8200353591301694E-5</v>
      </c>
      <c r="D108" s="1">
        <v>3.4705449243782298E-7</v>
      </c>
      <c r="F108">
        <f t="shared" si="3"/>
        <v>9.8200353591301699E-8</v>
      </c>
      <c r="G108">
        <f t="shared" si="4"/>
        <v>137.28124804536839</v>
      </c>
      <c r="H108">
        <f t="shared" si="5"/>
        <v>61375.220994563555</v>
      </c>
    </row>
    <row r="109" spans="1:8" x14ac:dyDescent="0.2">
      <c r="A109">
        <v>292.97705078125</v>
      </c>
      <c r="B109">
        <v>-1.6615697741508499</v>
      </c>
      <c r="C109" s="1">
        <v>9.7779468831222393E-5</v>
      </c>
      <c r="D109" s="1">
        <v>2.6722403966601499E-7</v>
      </c>
      <c r="F109">
        <f t="shared" si="3"/>
        <v>9.7779468831222398E-8</v>
      </c>
      <c r="G109">
        <f t="shared" si="4"/>
        <v>-132.22352142409596</v>
      </c>
      <c r="H109">
        <f t="shared" si="5"/>
        <v>61112.168019513992</v>
      </c>
    </row>
    <row r="110" spans="1:8" x14ac:dyDescent="0.2">
      <c r="A110">
        <v>292.97683715820301</v>
      </c>
      <c r="B110">
        <v>-1.59801244735718</v>
      </c>
      <c r="C110" s="1">
        <v>9.7265554572691505E-5</v>
      </c>
      <c r="D110" s="1">
        <v>3.77836096746471E-7</v>
      </c>
      <c r="F110">
        <f t="shared" si="3"/>
        <v>9.7265554572691511E-8</v>
      </c>
      <c r="G110">
        <f t="shared" si="4"/>
        <v>-127.16579005963619</v>
      </c>
      <c r="H110">
        <f t="shared" si="5"/>
        <v>60790.971607932188</v>
      </c>
    </row>
    <row r="111" spans="1:8" x14ac:dyDescent="0.2">
      <c r="A111">
        <v>292.97702026367199</v>
      </c>
      <c r="B111">
        <v>-1.6070920228958101</v>
      </c>
      <c r="C111" s="1">
        <v>9.7545838239986499E-5</v>
      </c>
      <c r="D111" s="1">
        <v>3.1271272195967798E-7</v>
      </c>
      <c r="F111">
        <f t="shared" si="3"/>
        <v>9.7545838239986497E-8</v>
      </c>
      <c r="G111">
        <f t="shared" si="4"/>
        <v>-127.88831972371081</v>
      </c>
      <c r="H111">
        <f t="shared" si="5"/>
        <v>60966.148899991553</v>
      </c>
    </row>
    <row r="112" spans="1:8" x14ac:dyDescent="0.2">
      <c r="A112">
        <v>292.97703552246099</v>
      </c>
      <c r="B112">
        <v>-1.59801244735718</v>
      </c>
      <c r="C112" s="1">
        <v>9.7075209148344505E-5</v>
      </c>
      <c r="D112" s="1">
        <v>3.2400387978050299E-7</v>
      </c>
      <c r="F112">
        <f t="shared" si="3"/>
        <v>9.7075209148344511E-8</v>
      </c>
      <c r="G112">
        <f t="shared" si="4"/>
        <v>-127.16579005963619</v>
      </c>
      <c r="H112">
        <f t="shared" si="5"/>
        <v>60672.005717715307</v>
      </c>
    </row>
    <row r="113" spans="1:8" x14ac:dyDescent="0.2">
      <c r="A113">
        <v>292.97723388671898</v>
      </c>
      <c r="B113">
        <v>-2.0792320966720599</v>
      </c>
      <c r="C113" s="1">
        <v>9.6405501159095407E-5</v>
      </c>
      <c r="D113" s="1">
        <v>3.1254145668326501E-7</v>
      </c>
      <c r="F113">
        <f t="shared" si="3"/>
        <v>9.6405501159095405E-8</v>
      </c>
      <c r="G113">
        <f t="shared" si="4"/>
        <v>-165.46003301034196</v>
      </c>
      <c r="H113">
        <f t="shared" si="5"/>
        <v>60253.43822443462</v>
      </c>
    </row>
    <row r="114" spans="1:8" x14ac:dyDescent="0.2">
      <c r="A114">
        <v>292.97576904296898</v>
      </c>
      <c r="B114">
        <v>-2.5967702865600599</v>
      </c>
      <c r="C114" s="1">
        <v>9.6455913192243094E-5</v>
      </c>
      <c r="D114" s="1">
        <v>3.3839195356913001E-7</v>
      </c>
      <c r="F114">
        <f t="shared" si="3"/>
        <v>9.645591319224309E-8</v>
      </c>
      <c r="G114">
        <f t="shared" si="4"/>
        <v>-206.64441359009555</v>
      </c>
      <c r="H114">
        <f t="shared" si="5"/>
        <v>60284.945745151919</v>
      </c>
    </row>
    <row r="115" spans="1:8" x14ac:dyDescent="0.2">
      <c r="A115">
        <v>292.97537231445301</v>
      </c>
      <c r="B115">
        <v>-4.4490120410919198</v>
      </c>
      <c r="C115" s="1">
        <v>9.6107667706536105E-5</v>
      </c>
      <c r="D115" s="1">
        <v>2.87884159037282E-7</v>
      </c>
      <c r="F115">
        <f t="shared" si="3"/>
        <v>9.6107667706536108E-8</v>
      </c>
      <c r="G115">
        <f t="shared" si="4"/>
        <v>-354.04112910757084</v>
      </c>
      <c r="H115">
        <f t="shared" si="5"/>
        <v>60067.292316585059</v>
      </c>
    </row>
    <row r="116" spans="1:8" x14ac:dyDescent="0.2">
      <c r="A116">
        <v>292.97482299804699</v>
      </c>
      <c r="B116">
        <v>-4.4762508869171098</v>
      </c>
      <c r="C116" s="1">
        <v>9.5259883599518806E-5</v>
      </c>
      <c r="D116" s="1">
        <v>2.4391770234096798E-7</v>
      </c>
      <c r="F116">
        <f t="shared" si="3"/>
        <v>9.5259883599518809E-8</v>
      </c>
      <c r="G116">
        <f t="shared" si="4"/>
        <v>-356.20872758616935</v>
      </c>
      <c r="H116">
        <f t="shared" si="5"/>
        <v>59537.427249699249</v>
      </c>
    </row>
    <row r="117" spans="1:8" x14ac:dyDescent="0.2">
      <c r="A117">
        <v>292.97531127929699</v>
      </c>
      <c r="B117">
        <v>-6.1832184791564897</v>
      </c>
      <c r="C117" s="1">
        <v>9.5577179572028996E-5</v>
      </c>
      <c r="D117" s="1">
        <v>3.0460429978017102E-7</v>
      </c>
      <c r="F117">
        <f t="shared" si="3"/>
        <v>9.5577179572028994E-8</v>
      </c>
      <c r="G117">
        <f t="shared" si="4"/>
        <v>-492.04489258745338</v>
      </c>
      <c r="H117">
        <f t="shared" si="5"/>
        <v>59735.737232518113</v>
      </c>
    </row>
    <row r="118" spans="1:8" x14ac:dyDescent="0.2">
      <c r="A118">
        <v>292.97587585449202</v>
      </c>
      <c r="B118">
        <v>-6.9186675548553502</v>
      </c>
      <c r="C118" s="1">
        <v>9.4971826655764494E-5</v>
      </c>
      <c r="D118" s="1">
        <v>3.3367746041338199E-7</v>
      </c>
      <c r="F118">
        <f t="shared" si="3"/>
        <v>9.4971826655764493E-8</v>
      </c>
      <c r="G118">
        <f t="shared" si="4"/>
        <v>-550.57007048237301</v>
      </c>
      <c r="H118">
        <f t="shared" si="5"/>
        <v>59357.391659852801</v>
      </c>
    </row>
    <row r="119" spans="1:8" x14ac:dyDescent="0.2">
      <c r="A119">
        <v>292.97633361816401</v>
      </c>
      <c r="B119">
        <v>-9.3247661590576207</v>
      </c>
      <c r="C119" s="1">
        <v>9.46489632309683E-5</v>
      </c>
      <c r="D119" s="1">
        <v>2.5782978141687502E-7</v>
      </c>
      <c r="F119">
        <f t="shared" si="3"/>
        <v>9.4648963230968296E-8</v>
      </c>
      <c r="G119">
        <f t="shared" si="4"/>
        <v>-742.04131369502363</v>
      </c>
      <c r="H119">
        <f t="shared" si="5"/>
        <v>59155.602019355174</v>
      </c>
    </row>
    <row r="120" spans="1:8" x14ac:dyDescent="0.2">
      <c r="A120">
        <v>292.97596740722702</v>
      </c>
      <c r="B120">
        <v>-11.2133259773254</v>
      </c>
      <c r="C120" s="1">
        <v>9.4535074385736207E-5</v>
      </c>
      <c r="D120" s="1">
        <v>3.0666353264767498E-7</v>
      </c>
      <c r="F120">
        <f t="shared" si="3"/>
        <v>9.4535074385736206E-8</v>
      </c>
      <c r="G120">
        <f t="shared" si="4"/>
        <v>-892.32812889604793</v>
      </c>
      <c r="H120">
        <f t="shared" si="5"/>
        <v>59084.421491085122</v>
      </c>
    </row>
    <row r="121" spans="1:8" x14ac:dyDescent="0.2">
      <c r="A121">
        <v>292.97634887695301</v>
      </c>
      <c r="B121">
        <v>-13.8100962638855</v>
      </c>
      <c r="C121" s="1">
        <v>9.35963640938313E-5</v>
      </c>
      <c r="D121" s="1">
        <v>3.1373487534733401E-7</v>
      </c>
      <c r="F121">
        <f t="shared" si="3"/>
        <v>9.3596364093831302E-8</v>
      </c>
      <c r="G121">
        <f t="shared" si="4"/>
        <v>-1098.9725424861465</v>
      </c>
      <c r="H121">
        <f t="shared" si="5"/>
        <v>58497.727558644554</v>
      </c>
    </row>
    <row r="122" spans="1:8" x14ac:dyDescent="0.2">
      <c r="A122">
        <v>292.97634887695301</v>
      </c>
      <c r="B122">
        <v>-16.969802856445298</v>
      </c>
      <c r="C122" s="1">
        <v>9.3341180893862497E-5</v>
      </c>
      <c r="D122" s="1">
        <v>2.8207104739930898E-7</v>
      </c>
      <c r="F122">
        <f t="shared" si="3"/>
        <v>9.3341180893862493E-8</v>
      </c>
      <c r="G122">
        <f t="shared" si="4"/>
        <v>-1350.4140039491172</v>
      </c>
      <c r="H122">
        <f t="shared" si="5"/>
        <v>58338.23805866405</v>
      </c>
    </row>
    <row r="123" spans="1:8" x14ac:dyDescent="0.2">
      <c r="A123">
        <v>292.97650146484398</v>
      </c>
      <c r="B123">
        <v>-20.737843513488802</v>
      </c>
      <c r="C123" s="1">
        <v>9.2564077382998504E-5</v>
      </c>
      <c r="D123" s="1">
        <v>3.5788549068577898E-7</v>
      </c>
      <c r="F123">
        <f t="shared" si="3"/>
        <v>9.2564077382998503E-8</v>
      </c>
      <c r="G123">
        <f t="shared" si="4"/>
        <v>-1650.2651521189707</v>
      </c>
      <c r="H123">
        <f t="shared" si="5"/>
        <v>57852.548364374052</v>
      </c>
    </row>
    <row r="124" spans="1:8" x14ac:dyDescent="0.2">
      <c r="A124">
        <v>292.97644042968699</v>
      </c>
      <c r="B124">
        <v>-25.4592447280884</v>
      </c>
      <c r="C124" s="1">
        <v>9.1703968791022705E-5</v>
      </c>
      <c r="D124" s="1">
        <v>2.73092250885297E-7</v>
      </c>
      <c r="F124">
        <f t="shared" si="3"/>
        <v>9.170396879102271E-8</v>
      </c>
      <c r="G124">
        <f t="shared" si="4"/>
        <v>-2025.9823229307729</v>
      </c>
      <c r="H124">
        <f t="shared" si="5"/>
        <v>57314.980494389187</v>
      </c>
    </row>
    <row r="125" spans="1:8" x14ac:dyDescent="0.2">
      <c r="A125">
        <v>292.97691345214798</v>
      </c>
      <c r="B125">
        <v>-31.333755493164102</v>
      </c>
      <c r="C125" s="1">
        <v>9.1269245346711897E-5</v>
      </c>
      <c r="D125" s="1">
        <v>3.2683581686654202E-7</v>
      </c>
      <c r="F125">
        <f t="shared" si="3"/>
        <v>9.126924534671189E-8</v>
      </c>
      <c r="G125">
        <f t="shared" si="4"/>
        <v>-2493.4610361849477</v>
      </c>
      <c r="H125">
        <f t="shared" si="5"/>
        <v>57043.278341694924</v>
      </c>
    </row>
    <row r="126" spans="1:8" x14ac:dyDescent="0.2">
      <c r="A126">
        <v>292.97669982910202</v>
      </c>
      <c r="B126">
        <v>-38.5883693695068</v>
      </c>
      <c r="C126" s="1">
        <v>8.9705897313717994E-5</v>
      </c>
      <c r="D126" s="1">
        <v>3.3858809741814199E-7</v>
      </c>
      <c r="F126">
        <f t="shared" si="3"/>
        <v>8.9705897313717994E-8</v>
      </c>
      <c r="G126">
        <f t="shared" si="4"/>
        <v>-3070.7648655064459</v>
      </c>
      <c r="H126">
        <f t="shared" si="5"/>
        <v>56066.185821073741</v>
      </c>
    </row>
    <row r="127" spans="1:8" x14ac:dyDescent="0.2">
      <c r="A127">
        <v>292.97525024414102</v>
      </c>
      <c r="B127">
        <v>-47.395595550537102</v>
      </c>
      <c r="C127" s="1">
        <v>8.8444920294562096E-5</v>
      </c>
      <c r="D127" s="1">
        <v>4.0901330251306998E-7</v>
      </c>
      <c r="F127">
        <f t="shared" si="3"/>
        <v>8.8444920294562096E-8</v>
      </c>
      <c r="G127">
        <f t="shared" si="4"/>
        <v>-3771.6216563261105</v>
      </c>
      <c r="H127">
        <f t="shared" si="5"/>
        <v>55278.075184101304</v>
      </c>
    </row>
    <row r="128" spans="1:8" x14ac:dyDescent="0.2">
      <c r="A128">
        <v>292.97650146484398</v>
      </c>
      <c r="B128">
        <v>-58.227577209472699</v>
      </c>
      <c r="C128" s="1">
        <v>8.5953805880438196E-5</v>
      </c>
      <c r="D128" s="1">
        <v>3.5508062131419798E-7</v>
      </c>
      <c r="F128">
        <f t="shared" si="3"/>
        <v>8.595380588043819E-8</v>
      </c>
      <c r="G128">
        <f t="shared" si="4"/>
        <v>-4633.603368576285</v>
      </c>
      <c r="H128">
        <f t="shared" si="5"/>
        <v>53721.12867527386</v>
      </c>
    </row>
    <row r="129" spans="1:8" x14ac:dyDescent="0.2">
      <c r="A129">
        <v>292.97703552246099</v>
      </c>
      <c r="B129">
        <v>-71.701728820800795</v>
      </c>
      <c r="C129" s="1">
        <v>8.4393877781884806E-5</v>
      </c>
      <c r="D129" s="1">
        <v>2.9235711315572199E-7</v>
      </c>
      <c r="F129">
        <f t="shared" si="3"/>
        <v>8.4393877781884809E-8</v>
      </c>
      <c r="G129">
        <f t="shared" si="4"/>
        <v>-5705.8422850325314</v>
      </c>
      <c r="H129">
        <f t="shared" si="5"/>
        <v>52746.173613677995</v>
      </c>
    </row>
    <row r="130" spans="1:8" x14ac:dyDescent="0.2">
      <c r="A130">
        <v>292.97648620605497</v>
      </c>
      <c r="B130">
        <v>-88.153995513916001</v>
      </c>
      <c r="C130" s="1">
        <v>8.2007735679593297E-5</v>
      </c>
      <c r="D130" s="1">
        <v>3.37940725162827E-7</v>
      </c>
      <c r="F130">
        <f t="shared" si="3"/>
        <v>8.2007735679593294E-8</v>
      </c>
      <c r="G130">
        <f t="shared" si="4"/>
        <v>-7015.0720696702492</v>
      </c>
      <c r="H130">
        <f t="shared" si="5"/>
        <v>51254.834799745804</v>
      </c>
    </row>
    <row r="131" spans="1:8" x14ac:dyDescent="0.2">
      <c r="A131">
        <v>292.976806640625</v>
      </c>
      <c r="B131">
        <v>-108.98263168334999</v>
      </c>
      <c r="C131" s="1">
        <v>7.8080930792506802E-5</v>
      </c>
      <c r="D131" s="1">
        <v>3.3917552466468101E-7</v>
      </c>
      <c r="F131">
        <f t="shared" si="3"/>
        <v>7.8080930792506796E-8</v>
      </c>
      <c r="G131">
        <f t="shared" si="4"/>
        <v>-8672.562271784278</v>
      </c>
      <c r="H131">
        <f t="shared" si="5"/>
        <v>48800.58174531674</v>
      </c>
    </row>
    <row r="132" spans="1:8" x14ac:dyDescent="0.2">
      <c r="A132">
        <v>292.97625732421898</v>
      </c>
      <c r="B132">
        <v>-134.06053161621099</v>
      </c>
      <c r="C132" s="1">
        <v>7.4417066056016806E-5</v>
      </c>
      <c r="D132" s="1">
        <v>3.6696146923811201E-7</v>
      </c>
      <c r="F132">
        <f t="shared" si="3"/>
        <v>7.4417066056016802E-8</v>
      </c>
      <c r="G132">
        <f t="shared" si="4"/>
        <v>-10668.198140123648</v>
      </c>
      <c r="H132">
        <f t="shared" si="5"/>
        <v>46510.666285010491</v>
      </c>
    </row>
    <row r="133" spans="1:8" x14ac:dyDescent="0.2">
      <c r="A133">
        <v>292.97557067871099</v>
      </c>
      <c r="B133">
        <v>-164.90399169921901</v>
      </c>
      <c r="C133" s="1">
        <v>6.8754902607443702E-5</v>
      </c>
      <c r="D133" s="1">
        <v>2.9790826944199902E-7</v>
      </c>
      <c r="F133">
        <f t="shared" si="3"/>
        <v>6.8754902607443707E-8</v>
      </c>
      <c r="G133">
        <f t="shared" si="4"/>
        <v>-13122.642707257792</v>
      </c>
      <c r="H133">
        <f t="shared" si="5"/>
        <v>42971.81412965231</v>
      </c>
    </row>
    <row r="134" spans="1:8" x14ac:dyDescent="0.2">
      <c r="A134">
        <v>292.97611999511702</v>
      </c>
      <c r="B134">
        <v>-202.99298095703099</v>
      </c>
      <c r="C134" s="1">
        <v>5.98348640224641E-5</v>
      </c>
      <c r="D134" s="1">
        <v>2.9136502346782698E-7</v>
      </c>
      <c r="F134">
        <f t="shared" si="3"/>
        <v>5.9834864022464097E-8</v>
      </c>
      <c r="G134">
        <f t="shared" si="4"/>
        <v>-16153.66816613523</v>
      </c>
      <c r="H134">
        <f t="shared" si="5"/>
        <v>37396.790014040052</v>
      </c>
    </row>
    <row r="135" spans="1:8" x14ac:dyDescent="0.2">
      <c r="A135">
        <v>292.97668457031301</v>
      </c>
      <c r="B135">
        <v>-249.970909118652</v>
      </c>
      <c r="C135" s="1">
        <v>4.9186665186125697E-5</v>
      </c>
      <c r="D135" s="1">
        <v>3.7640133536960699E-7</v>
      </c>
      <c r="F135">
        <f t="shared" si="3"/>
        <v>4.9186665186125694E-8</v>
      </c>
      <c r="G135">
        <f t="shared" si="4"/>
        <v>-19892.052907704201</v>
      </c>
      <c r="H135">
        <f t="shared" si="5"/>
        <v>30741.665741328554</v>
      </c>
    </row>
    <row r="136" spans="1:8" x14ac:dyDescent="0.2">
      <c r="A136">
        <v>292.97706604003901</v>
      </c>
      <c r="B136">
        <v>-307.61740112304699</v>
      </c>
      <c r="C136" s="1">
        <v>3.0616461815772099E-5</v>
      </c>
      <c r="D136" s="1">
        <v>3.48969111922343E-7</v>
      </c>
      <c r="F136">
        <f t="shared" si="3"/>
        <v>3.0616461815772097E-8</v>
      </c>
      <c r="G136">
        <f t="shared" si="4"/>
        <v>-24479.414984907642</v>
      </c>
      <c r="H136">
        <f t="shared" si="5"/>
        <v>19135.288634857559</v>
      </c>
    </row>
    <row r="137" spans="1:8" x14ac:dyDescent="0.2">
      <c r="A137">
        <v>292.97570800781199</v>
      </c>
      <c r="B137">
        <v>-378.73805236816401</v>
      </c>
      <c r="C137" s="1">
        <v>9.05556132270401E-6</v>
      </c>
      <c r="D137" s="1">
        <v>3.84410794729357E-7</v>
      </c>
      <c r="F137">
        <f t="shared" ref="F137:F200" si="6">C137/1000</f>
        <v>9.0555613227040094E-9</v>
      </c>
      <c r="G137">
        <f t="shared" ref="G137:G200" si="7">(B137*1000)/(4*PI())</f>
        <v>-30139.016585695212</v>
      </c>
      <c r="H137">
        <f t="shared" ref="H137:H200" si="8">F137/$G$4</f>
        <v>5659.7258266900053</v>
      </c>
    </row>
    <row r="138" spans="1:8" x14ac:dyDescent="0.2">
      <c r="A138">
        <v>292.97669982910202</v>
      </c>
      <c r="B138">
        <v>-466.12023925781199</v>
      </c>
      <c r="C138" s="1">
        <v>-2.1064823702548102E-5</v>
      </c>
      <c r="D138" s="1">
        <v>3.22206027103532E-7</v>
      </c>
      <c r="F138">
        <f t="shared" si="6"/>
        <v>-2.1064823702548102E-8</v>
      </c>
      <c r="G138">
        <f t="shared" si="7"/>
        <v>-37092.670076528855</v>
      </c>
      <c r="H138">
        <f t="shared" si="8"/>
        <v>-13165.514814092561</v>
      </c>
    </row>
    <row r="139" spans="1:8" x14ac:dyDescent="0.2">
      <c r="A139">
        <v>292.97616577148398</v>
      </c>
      <c r="B139">
        <v>-573.84085083007801</v>
      </c>
      <c r="C139" s="1">
        <v>-5.5413213586013303E-5</v>
      </c>
      <c r="D139" s="1">
        <v>3.3990393451295002E-7</v>
      </c>
      <c r="F139">
        <f t="shared" si="6"/>
        <v>-5.5413213586013305E-8</v>
      </c>
      <c r="G139">
        <f t="shared" si="7"/>
        <v>-45664.803978832933</v>
      </c>
      <c r="H139">
        <f t="shared" si="8"/>
        <v>-34633.258491258312</v>
      </c>
    </row>
    <row r="140" spans="1:8" x14ac:dyDescent="0.2">
      <c r="A140">
        <v>292.97570800781199</v>
      </c>
      <c r="B140">
        <v>-706.46676635742199</v>
      </c>
      <c r="C140" s="1">
        <v>-9.7357218992148603E-5</v>
      </c>
      <c r="D140" s="1">
        <v>3.3120278011143499E-7</v>
      </c>
      <c r="F140">
        <f t="shared" si="6"/>
        <v>-9.7357218992148603E-8</v>
      </c>
      <c r="G140">
        <f t="shared" si="7"/>
        <v>-56218.838997965409</v>
      </c>
      <c r="H140">
        <f t="shared" si="8"/>
        <v>-60848.261870092865</v>
      </c>
    </row>
    <row r="141" spans="1:8" x14ac:dyDescent="0.2">
      <c r="A141">
        <v>292.97642517089798</v>
      </c>
      <c r="B141">
        <v>-870.56268310546898</v>
      </c>
      <c r="C141">
        <v>-1.3876402144285101E-4</v>
      </c>
      <c r="D141" s="1">
        <v>3.7893698318835301E-7</v>
      </c>
      <c r="F141">
        <f t="shared" si="6"/>
        <v>-1.3876402144285101E-7</v>
      </c>
      <c r="G141">
        <f t="shared" si="7"/>
        <v>-69277.177143789319</v>
      </c>
      <c r="H141">
        <f t="shared" si="8"/>
        <v>-86727.513401781864</v>
      </c>
    </row>
    <row r="142" spans="1:8" x14ac:dyDescent="0.2">
      <c r="A142">
        <v>292.97636413574202</v>
      </c>
      <c r="B142">
        <v>-1071.75793457031</v>
      </c>
      <c r="C142">
        <v>-1.8287490802999101E-4</v>
      </c>
      <c r="D142" s="1">
        <v>2.58851501712656E-7</v>
      </c>
      <c r="F142">
        <f t="shared" si="6"/>
        <v>-1.8287490802999101E-7</v>
      </c>
      <c r="G142">
        <f t="shared" si="7"/>
        <v>-85287.78654241249</v>
      </c>
      <c r="H142">
        <f t="shared" si="8"/>
        <v>-114296.81751874437</v>
      </c>
    </row>
    <row r="143" spans="1:8" x14ac:dyDescent="0.2">
      <c r="A143">
        <v>292.97564697265602</v>
      </c>
      <c r="B143">
        <v>-1319.6495971679699</v>
      </c>
      <c r="C143">
        <v>-2.2317128650215201E-4</v>
      </c>
      <c r="D143" s="1">
        <v>3.2710399724362701E-7</v>
      </c>
      <c r="F143">
        <f t="shared" si="6"/>
        <v>-2.2317128650215201E-7</v>
      </c>
      <c r="G143">
        <f t="shared" si="7"/>
        <v>-105014.37826925544</v>
      </c>
      <c r="H143">
        <f t="shared" si="8"/>
        <v>-139482.05406384499</v>
      </c>
    </row>
    <row r="144" spans="1:8" x14ac:dyDescent="0.2">
      <c r="A144">
        <v>292.97711181640602</v>
      </c>
      <c r="B144">
        <v>-1625.087890625</v>
      </c>
      <c r="C144">
        <v>-2.6194512443324802E-4</v>
      </c>
      <c r="D144" s="1">
        <v>3.02719096159832E-7</v>
      </c>
      <c r="F144">
        <f t="shared" si="6"/>
        <v>-2.6194512443324802E-7</v>
      </c>
      <c r="G144">
        <f t="shared" si="7"/>
        <v>-129320.38537587506</v>
      </c>
      <c r="H144">
        <f t="shared" si="8"/>
        <v>-163715.70277077999</v>
      </c>
    </row>
    <row r="145" spans="1:8" x14ac:dyDescent="0.2">
      <c r="A145">
        <v>292.97625732421898</v>
      </c>
      <c r="B145">
        <v>-2001.8374633789099</v>
      </c>
      <c r="C145">
        <v>-2.9657103696028502E-4</v>
      </c>
      <c r="D145" s="1">
        <v>3.0919767024909397E-7</v>
      </c>
      <c r="F145">
        <f t="shared" si="6"/>
        <v>-2.9657103696028502E-7</v>
      </c>
      <c r="G145">
        <f t="shared" si="7"/>
        <v>-159301.16378164728</v>
      </c>
      <c r="H145">
        <f t="shared" si="8"/>
        <v>-185356.89810017811</v>
      </c>
    </row>
    <row r="146" spans="1:8" x14ac:dyDescent="0.2">
      <c r="A146">
        <v>292.97708129882801</v>
      </c>
      <c r="B146">
        <v>-2464.4984130859398</v>
      </c>
      <c r="C146">
        <v>-3.2977935011386698E-4</v>
      </c>
      <c r="D146" s="1">
        <v>3.1859110359057099E-7</v>
      </c>
      <c r="F146">
        <f t="shared" si="6"/>
        <v>-3.2977935011386696E-7</v>
      </c>
      <c r="G146">
        <f t="shared" si="7"/>
        <v>-196118.55234237955</v>
      </c>
      <c r="H146">
        <f t="shared" si="8"/>
        <v>-206112.09382116681</v>
      </c>
    </row>
    <row r="147" spans="1:8" x14ac:dyDescent="0.2">
      <c r="A147">
        <v>292.97662353515602</v>
      </c>
      <c r="B147">
        <v>-3035.77880859375</v>
      </c>
      <c r="C147">
        <v>-3.6058673848112199E-4</v>
      </c>
      <c r="D147" s="1">
        <v>2.8515442046692001E-7</v>
      </c>
      <c r="F147">
        <f t="shared" si="6"/>
        <v>-3.6058673848112197E-7</v>
      </c>
      <c r="G147">
        <f t="shared" si="7"/>
        <v>-241579.60176066007</v>
      </c>
      <c r="H147">
        <f t="shared" si="8"/>
        <v>-225366.71155070121</v>
      </c>
    </row>
    <row r="148" spans="1:8" x14ac:dyDescent="0.2">
      <c r="A148">
        <v>292.97740173339798</v>
      </c>
      <c r="B148">
        <v>-3738.4501953125</v>
      </c>
      <c r="C148">
        <v>-3.8825060845837898E-4</v>
      </c>
      <c r="D148" s="1">
        <v>3.1871209675618602E-7</v>
      </c>
      <c r="F148">
        <f t="shared" si="6"/>
        <v>-3.8825060845837901E-7</v>
      </c>
      <c r="G148">
        <f t="shared" si="7"/>
        <v>-297496.41404342296</v>
      </c>
      <c r="H148">
        <f t="shared" si="8"/>
        <v>-242656.63028648685</v>
      </c>
    </row>
    <row r="149" spans="1:8" x14ac:dyDescent="0.2">
      <c r="A149">
        <v>292.97692871093699</v>
      </c>
      <c r="B149">
        <v>-4603.2746582031295</v>
      </c>
      <c r="C149">
        <v>-4.1039713885597198E-4</v>
      </c>
      <c r="D149" s="1">
        <v>3.0341970346665701E-7</v>
      </c>
      <c r="F149">
        <f t="shared" si="6"/>
        <v>-4.1039713885597197E-7</v>
      </c>
      <c r="G149">
        <f t="shared" si="7"/>
        <v>-366316.95813134155</v>
      </c>
      <c r="H149">
        <f t="shared" si="8"/>
        <v>-256498.21178498244</v>
      </c>
    </row>
    <row r="150" spans="1:8" x14ac:dyDescent="0.2">
      <c r="A150">
        <v>292.97596740722702</v>
      </c>
      <c r="B150">
        <v>-5669.84814453125</v>
      </c>
      <c r="C150">
        <v>-4.2649296392333801E-4</v>
      </c>
      <c r="D150" s="1">
        <v>3.3524353193707898E-7</v>
      </c>
      <c r="F150">
        <f t="shared" si="6"/>
        <v>-4.2649296392333802E-7</v>
      </c>
      <c r="G150">
        <f t="shared" si="7"/>
        <v>-451192.17939127976</v>
      </c>
      <c r="H150">
        <f t="shared" si="8"/>
        <v>-266558.10245208623</v>
      </c>
    </row>
    <row r="151" spans="1:8" x14ac:dyDescent="0.2">
      <c r="A151">
        <v>292.97724914550798</v>
      </c>
      <c r="B151">
        <v>-6981.5256347656295</v>
      </c>
      <c r="C151">
        <v>-4.3614038472058998E-4</v>
      </c>
      <c r="D151" s="1">
        <v>3.69575760342848E-7</v>
      </c>
      <c r="F151">
        <f t="shared" si="6"/>
        <v>-4.3614038472058999E-7</v>
      </c>
      <c r="G151">
        <f t="shared" si="7"/>
        <v>-555572.15754786611</v>
      </c>
      <c r="H151">
        <f t="shared" si="8"/>
        <v>-272587.74045036873</v>
      </c>
    </row>
    <row r="152" spans="1:8" x14ac:dyDescent="0.2">
      <c r="A152">
        <v>292.97726440429699</v>
      </c>
      <c r="B152">
        <v>-8599.06787109375</v>
      </c>
      <c r="C152">
        <v>-4.3928907257696802E-4</v>
      </c>
      <c r="D152" s="1">
        <v>3.0149797781145599E-7</v>
      </c>
      <c r="F152">
        <f t="shared" si="6"/>
        <v>-4.3928907257696801E-7</v>
      </c>
      <c r="G152">
        <f t="shared" si="7"/>
        <v>-684292.07883363566</v>
      </c>
      <c r="H152">
        <f t="shared" si="8"/>
        <v>-274555.67036060494</v>
      </c>
    </row>
    <row r="153" spans="1:8" x14ac:dyDescent="0.2">
      <c r="A153">
        <v>292.9765625</v>
      </c>
      <c r="B153">
        <v>-10589.1025390625</v>
      </c>
      <c r="C153">
        <v>-4.3567241416447302E-4</v>
      </c>
      <c r="D153" s="1">
        <v>4.12022265195584E-7</v>
      </c>
      <c r="F153">
        <f t="shared" si="6"/>
        <v>-4.35672414164473E-7</v>
      </c>
      <c r="G153">
        <f t="shared" si="7"/>
        <v>-842654.00599936838</v>
      </c>
      <c r="H153">
        <f t="shared" si="8"/>
        <v>-272295.25885279558</v>
      </c>
    </row>
    <row r="154" spans="1:8" x14ac:dyDescent="0.2">
      <c r="A154">
        <v>292.97712707519503</v>
      </c>
      <c r="B154">
        <v>-13041.225097656299</v>
      </c>
      <c r="C154">
        <v>-4.2336967203997401E-4</v>
      </c>
      <c r="D154" s="1">
        <v>4.6133481017889902E-7</v>
      </c>
      <c r="F154">
        <f t="shared" si="6"/>
        <v>-4.2336967203997401E-7</v>
      </c>
      <c r="G154">
        <f t="shared" si="7"/>
        <v>-1037787.7191330427</v>
      </c>
      <c r="H154">
        <f t="shared" si="8"/>
        <v>-264606.0450249837</v>
      </c>
    </row>
    <row r="155" spans="1:8" x14ac:dyDescent="0.2">
      <c r="A155">
        <v>292.97857666015602</v>
      </c>
      <c r="B155">
        <v>-16060.841796875</v>
      </c>
      <c r="C155">
        <v>-4.0159454935203897E-4</v>
      </c>
      <c r="D155" s="1">
        <v>5.67066171913277E-7</v>
      </c>
      <c r="F155">
        <f t="shared" si="6"/>
        <v>-4.0159454935203899E-7</v>
      </c>
      <c r="G155">
        <f t="shared" si="7"/>
        <v>-1278081.1810947873</v>
      </c>
      <c r="H155">
        <f t="shared" si="8"/>
        <v>-250996.59334502433</v>
      </c>
    </row>
    <row r="156" spans="1:8" x14ac:dyDescent="0.2">
      <c r="A156">
        <v>292.97761535644503</v>
      </c>
      <c r="B156">
        <v>-19779.833984375</v>
      </c>
      <c r="C156">
        <v>-3.6803649353390198E-4</v>
      </c>
      <c r="D156" s="1">
        <v>5.8703328911424103E-7</v>
      </c>
      <c r="F156">
        <f t="shared" si="6"/>
        <v>-3.6803649353390196E-7</v>
      </c>
      <c r="G156">
        <f t="shared" si="7"/>
        <v>-1574029.1760751703</v>
      </c>
      <c r="H156">
        <f t="shared" si="8"/>
        <v>-230022.8084586887</v>
      </c>
    </row>
    <row r="157" spans="1:8" x14ac:dyDescent="0.2">
      <c r="A157">
        <v>292.97904968261702</v>
      </c>
      <c r="B157">
        <v>-24359.3837890625</v>
      </c>
      <c r="C157">
        <v>-3.1891525822134802E-4</v>
      </c>
      <c r="D157" s="1">
        <v>7.4959959027687102E-7</v>
      </c>
      <c r="F157">
        <f t="shared" si="6"/>
        <v>-3.1891525822134803E-7</v>
      </c>
      <c r="G157">
        <f t="shared" si="7"/>
        <v>-1938458.17035094</v>
      </c>
      <c r="H157">
        <f t="shared" si="8"/>
        <v>-199322.0363883425</v>
      </c>
    </row>
    <row r="158" spans="1:8" x14ac:dyDescent="0.2">
      <c r="A158">
        <v>292.97987365722702</v>
      </c>
      <c r="B158">
        <v>-29999.3603515625</v>
      </c>
      <c r="C158">
        <v>-2.5084868115651002E-4</v>
      </c>
      <c r="D158" s="1">
        <v>8.5105559581851902E-7</v>
      </c>
      <c r="F158">
        <f t="shared" si="6"/>
        <v>-2.5084868115651002E-7</v>
      </c>
      <c r="G158">
        <f t="shared" si="7"/>
        <v>-2387273.2447730955</v>
      </c>
      <c r="H158">
        <f t="shared" si="8"/>
        <v>-156780.42572281873</v>
      </c>
    </row>
    <row r="159" spans="1:8" x14ac:dyDescent="0.2">
      <c r="A159">
        <v>292.98017883300798</v>
      </c>
      <c r="B159">
        <v>-24359.5751953125</v>
      </c>
      <c r="C159">
        <v>-3.1947007563370799E-4</v>
      </c>
      <c r="D159" s="1">
        <v>6.5874143062460504E-7</v>
      </c>
      <c r="F159">
        <f t="shared" si="6"/>
        <v>-3.1947007563370796E-7</v>
      </c>
      <c r="G159">
        <f t="shared" si="7"/>
        <v>-1938473.4019763533</v>
      </c>
      <c r="H159">
        <f t="shared" si="8"/>
        <v>-199668.79727106745</v>
      </c>
    </row>
    <row r="160" spans="1:8" x14ac:dyDescent="0.2">
      <c r="A160">
        <v>292.97886657714798</v>
      </c>
      <c r="B160">
        <v>-19779.92578125</v>
      </c>
      <c r="C160">
        <v>-3.6975168385738899E-4</v>
      </c>
      <c r="D160" s="1">
        <v>6.89996713367733E-7</v>
      </c>
      <c r="F160">
        <f t="shared" si="6"/>
        <v>-3.6975168385738899E-7</v>
      </c>
      <c r="G160">
        <f t="shared" si="7"/>
        <v>-1574036.4810383786</v>
      </c>
      <c r="H160">
        <f t="shared" si="8"/>
        <v>-231094.80241086808</v>
      </c>
    </row>
    <row r="161" spans="1:8" x14ac:dyDescent="0.2">
      <c r="A161">
        <v>292.98059082031301</v>
      </c>
      <c r="B161">
        <v>-16060.7333984375</v>
      </c>
      <c r="C161">
        <v>-4.0472325917986302E-4</v>
      </c>
      <c r="D161" s="1">
        <v>4.95874175567154E-7</v>
      </c>
      <c r="F161">
        <f t="shared" si="6"/>
        <v>-4.04723259179863E-7</v>
      </c>
      <c r="G161">
        <f t="shared" si="7"/>
        <v>-1278072.5550212115</v>
      </c>
      <c r="H161">
        <f t="shared" si="8"/>
        <v>-252952.03698741435</v>
      </c>
    </row>
    <row r="162" spans="1:8" x14ac:dyDescent="0.2">
      <c r="A162">
        <v>292.97958374023398</v>
      </c>
      <c r="B162">
        <v>-13041.37890625</v>
      </c>
      <c r="C162">
        <v>-4.26918395162855E-4</v>
      </c>
      <c r="D162" s="1">
        <v>5.4781845439398001E-7</v>
      </c>
      <c r="F162">
        <f t="shared" si="6"/>
        <v>-4.2691839516285502E-7</v>
      </c>
      <c r="G162">
        <f t="shared" si="7"/>
        <v>-1037799.9588320316</v>
      </c>
      <c r="H162">
        <f t="shared" si="8"/>
        <v>-266823.99697678437</v>
      </c>
    </row>
    <row r="163" spans="1:8" x14ac:dyDescent="0.2">
      <c r="A163">
        <v>292.98091125488298</v>
      </c>
      <c r="B163">
        <v>-10589.511230468799</v>
      </c>
      <c r="C163">
        <v>-4.40049708910737E-4</v>
      </c>
      <c r="D163" s="1">
        <v>4.3653785951132402E-7</v>
      </c>
      <c r="F163">
        <f t="shared" si="6"/>
        <v>-4.40049708910737E-7</v>
      </c>
      <c r="G163">
        <f t="shared" si="7"/>
        <v>-842686.52862812416</v>
      </c>
      <c r="H163">
        <f t="shared" si="8"/>
        <v>-275031.06806921057</v>
      </c>
    </row>
    <row r="164" spans="1:8" x14ac:dyDescent="0.2">
      <c r="A164">
        <v>292.98066711425798</v>
      </c>
      <c r="B164">
        <v>-8598.5595703125</v>
      </c>
      <c r="C164">
        <v>-4.4556896493282697E-4</v>
      </c>
      <c r="D164" s="1">
        <v>5.57549038752752E-7</v>
      </c>
      <c r="F164">
        <f t="shared" si="6"/>
        <v>-4.4556896493282699E-7</v>
      </c>
      <c r="G164">
        <f t="shared" si="7"/>
        <v>-684251.62954267894</v>
      </c>
      <c r="H164">
        <f t="shared" si="8"/>
        <v>-278480.60308301682</v>
      </c>
    </row>
    <row r="165" spans="1:8" x14ac:dyDescent="0.2">
      <c r="A165">
        <v>292.98007202148398</v>
      </c>
      <c r="B165">
        <v>-6981.9978027343705</v>
      </c>
      <c r="C165">
        <v>-4.4478741510931902E-4</v>
      </c>
      <c r="D165" s="1">
        <v>3.8933241442798698E-7</v>
      </c>
      <c r="F165">
        <f t="shared" si="6"/>
        <v>-4.4478741510931902E-7</v>
      </c>
      <c r="G165">
        <f t="shared" si="7"/>
        <v>-555609.73148096353</v>
      </c>
      <c r="H165">
        <f t="shared" si="8"/>
        <v>-277992.13444332435</v>
      </c>
    </row>
    <row r="166" spans="1:8" x14ac:dyDescent="0.2">
      <c r="A166">
        <v>292.98211669921898</v>
      </c>
      <c r="B166">
        <v>-5669.5393066406295</v>
      </c>
      <c r="C166">
        <v>-4.38259990707194E-4</v>
      </c>
      <c r="D166" s="1">
        <v>3.3111243750322E-7</v>
      </c>
      <c r="F166">
        <f t="shared" si="6"/>
        <v>-4.3825999070719397E-7</v>
      </c>
      <c r="G166">
        <f t="shared" si="7"/>
        <v>-451167.60285282659</v>
      </c>
      <c r="H166">
        <f t="shared" si="8"/>
        <v>-273912.49419199617</v>
      </c>
    </row>
    <row r="167" spans="1:8" x14ac:dyDescent="0.2">
      <c r="A167">
        <v>292.98141479492199</v>
      </c>
      <c r="B167">
        <v>-4603.8283691406295</v>
      </c>
      <c r="C167">
        <v>-4.2595031414196101E-4</v>
      </c>
      <c r="D167" s="1">
        <v>4.0890697408508801E-7</v>
      </c>
      <c r="F167">
        <f t="shared" si="6"/>
        <v>-4.2595031414196103E-7</v>
      </c>
      <c r="G167">
        <f t="shared" si="7"/>
        <v>-366361.02104771516</v>
      </c>
      <c r="H167">
        <f t="shared" si="8"/>
        <v>-266218.94633872563</v>
      </c>
    </row>
    <row r="168" spans="1:8" x14ac:dyDescent="0.2">
      <c r="A168">
        <v>292.98165893554699</v>
      </c>
      <c r="B168">
        <v>-3738.8497314453102</v>
      </c>
      <c r="C168">
        <v>-4.0798968198833401E-4</v>
      </c>
      <c r="D168" s="1">
        <v>3.8785494770375899E-7</v>
      </c>
      <c r="F168">
        <f t="shared" si="6"/>
        <v>-4.0798968198833403E-7</v>
      </c>
      <c r="G168">
        <f t="shared" si="7"/>
        <v>-297528.20811866329</v>
      </c>
      <c r="H168">
        <f t="shared" si="8"/>
        <v>-254993.55124270872</v>
      </c>
    </row>
    <row r="169" spans="1:8" x14ac:dyDescent="0.2">
      <c r="A169">
        <v>292.98216247558599</v>
      </c>
      <c r="B169">
        <v>-3035.9874267578102</v>
      </c>
      <c r="C169">
        <v>-3.8678509183925398E-4</v>
      </c>
      <c r="D169" s="1">
        <v>3.2044296134455699E-7</v>
      </c>
      <c r="F169">
        <f t="shared" si="6"/>
        <v>-3.8678509183925397E-7</v>
      </c>
      <c r="G169">
        <f t="shared" si="7"/>
        <v>-241596.20306667453</v>
      </c>
      <c r="H169">
        <f t="shared" si="8"/>
        <v>-241740.68239953369</v>
      </c>
    </row>
    <row r="170" spans="1:8" x14ac:dyDescent="0.2">
      <c r="A170">
        <v>292.982666015625</v>
      </c>
      <c r="B170">
        <v>-2464.9432373046898</v>
      </c>
      <c r="C170">
        <v>-3.6426248562708701E-4</v>
      </c>
      <c r="D170" s="1">
        <v>3.1297067077177002E-7</v>
      </c>
      <c r="F170">
        <f t="shared" si="6"/>
        <v>-3.6426248562708699E-7</v>
      </c>
      <c r="G170">
        <f t="shared" si="7"/>
        <v>-196153.95032899009</v>
      </c>
      <c r="H170">
        <f t="shared" si="8"/>
        <v>-227664.05351692933</v>
      </c>
    </row>
    <row r="171" spans="1:8" x14ac:dyDescent="0.2">
      <c r="A171">
        <v>292.98304748535202</v>
      </c>
      <c r="B171">
        <v>-2001.54699707031</v>
      </c>
      <c r="C171">
        <v>-3.4007583525331E-4</v>
      </c>
      <c r="D171" s="1">
        <v>3.1122924049816502E-7</v>
      </c>
      <c r="F171">
        <f t="shared" si="6"/>
        <v>-3.4007583525331001E-7</v>
      </c>
      <c r="G171">
        <f t="shared" si="7"/>
        <v>-159278.04920723959</v>
      </c>
      <c r="H171">
        <f t="shared" si="8"/>
        <v>-212547.39703331873</v>
      </c>
    </row>
    <row r="172" spans="1:8" x14ac:dyDescent="0.2">
      <c r="A172">
        <v>292.982666015625</v>
      </c>
      <c r="B172">
        <v>-1624.85180664062</v>
      </c>
      <c r="C172">
        <v>-3.1428642418912799E-4</v>
      </c>
      <c r="D172" s="1">
        <v>3.0719866128620101E-7</v>
      </c>
      <c r="F172">
        <f t="shared" si="6"/>
        <v>-3.1428642418912799E-7</v>
      </c>
      <c r="G172">
        <f t="shared" si="7"/>
        <v>-129301.59840932561</v>
      </c>
      <c r="H172">
        <f t="shared" si="8"/>
        <v>-196429.01511820496</v>
      </c>
    </row>
    <row r="173" spans="1:8" x14ac:dyDescent="0.2">
      <c r="A173">
        <v>292.98414611816401</v>
      </c>
      <c r="B173">
        <v>-1320.2034301757801</v>
      </c>
      <c r="C173">
        <v>-2.9108469455809202E-4</v>
      </c>
      <c r="D173" s="1">
        <v>3.4322130523333899E-7</v>
      </c>
      <c r="F173">
        <f t="shared" si="6"/>
        <v>-2.9108469455809203E-7</v>
      </c>
      <c r="G173">
        <f t="shared" si="7"/>
        <v>-105058.45089967565</v>
      </c>
      <c r="H173">
        <f t="shared" si="8"/>
        <v>-181927.93409880748</v>
      </c>
    </row>
    <row r="174" spans="1:8" x14ac:dyDescent="0.2">
      <c r="A174">
        <v>292.98243713378901</v>
      </c>
      <c r="B174">
        <v>-1071.96667480469</v>
      </c>
      <c r="C174">
        <v>-2.66718804620164E-4</v>
      </c>
      <c r="D174" s="1">
        <v>2.9870200118107701E-7</v>
      </c>
      <c r="F174">
        <f t="shared" si="6"/>
        <v>-2.6671880462016401E-7</v>
      </c>
      <c r="G174">
        <f t="shared" si="7"/>
        <v>-85304.397562474362</v>
      </c>
      <c r="H174">
        <f t="shared" si="8"/>
        <v>-166699.25288760249</v>
      </c>
    </row>
    <row r="175" spans="1:8" x14ac:dyDescent="0.2">
      <c r="A175">
        <v>292.98396301269503</v>
      </c>
      <c r="B175">
        <v>-870.44461059570301</v>
      </c>
      <c r="C175">
        <v>-2.4391942284106199E-4</v>
      </c>
      <c r="D175" s="1">
        <v>2.6086359583529502E-7</v>
      </c>
      <c r="F175">
        <f t="shared" si="6"/>
        <v>-2.43919422841062E-7</v>
      </c>
      <c r="G175">
        <f t="shared" si="7"/>
        <v>-69267.78123200305</v>
      </c>
      <c r="H175">
        <f t="shared" si="8"/>
        <v>-152449.63927566374</v>
      </c>
    </row>
    <row r="176" spans="1:8" x14ac:dyDescent="0.2">
      <c r="A176">
        <v>292.98417663574202</v>
      </c>
      <c r="B176">
        <v>-706.81179809570301</v>
      </c>
      <c r="C176">
        <v>-2.2364802121063799E-4</v>
      </c>
      <c r="D176" s="1">
        <v>3.0855921897867698E-7</v>
      </c>
      <c r="F176">
        <f t="shared" si="6"/>
        <v>-2.23648021210638E-7</v>
      </c>
      <c r="G176">
        <f t="shared" si="7"/>
        <v>-56246.295751300917</v>
      </c>
      <c r="H176">
        <f t="shared" si="8"/>
        <v>-139780.01325664873</v>
      </c>
    </row>
    <row r="177" spans="1:8" x14ac:dyDescent="0.2">
      <c r="A177">
        <v>292.98429870605497</v>
      </c>
      <c r="B177">
        <v>-574.267578125</v>
      </c>
      <c r="C177">
        <v>-2.0481205582064901E-4</v>
      </c>
      <c r="D177" s="1">
        <v>3.2216203712559598E-7</v>
      </c>
      <c r="F177">
        <f t="shared" si="6"/>
        <v>-2.0481205582064902E-7</v>
      </c>
      <c r="G177">
        <f t="shared" si="7"/>
        <v>-45698.761858002472</v>
      </c>
      <c r="H177">
        <f t="shared" si="8"/>
        <v>-128007.53488790561</v>
      </c>
    </row>
    <row r="178" spans="1:8" x14ac:dyDescent="0.2">
      <c r="A178">
        <v>292.98493957519503</v>
      </c>
      <c r="B178">
        <v>-466.30186462402298</v>
      </c>
      <c r="C178">
        <v>-1.8709062264077401E-4</v>
      </c>
      <c r="D178" s="1">
        <v>2.7552505127943302E-7</v>
      </c>
      <c r="F178">
        <f t="shared" si="6"/>
        <v>-1.8709062264077402E-7</v>
      </c>
      <c r="G178">
        <f t="shared" si="7"/>
        <v>-37107.123363940533</v>
      </c>
      <c r="H178">
        <f t="shared" si="8"/>
        <v>-116931.63915048374</v>
      </c>
    </row>
    <row r="179" spans="1:8" x14ac:dyDescent="0.2">
      <c r="A179">
        <v>292.984619140625</v>
      </c>
      <c r="B179">
        <v>-378.72895812988298</v>
      </c>
      <c r="C179">
        <v>-1.7199250699403401E-4</v>
      </c>
      <c r="D179" s="1">
        <v>3.1038654672540498E-7</v>
      </c>
      <c r="F179">
        <f t="shared" si="6"/>
        <v>-1.7199250699403401E-7</v>
      </c>
      <c r="G179">
        <f t="shared" si="7"/>
        <v>-30138.292889207169</v>
      </c>
      <c r="H179">
        <f t="shared" si="8"/>
        <v>-107495.31687127124</v>
      </c>
    </row>
    <row r="180" spans="1:8" x14ac:dyDescent="0.2">
      <c r="A180">
        <v>292.98410034179699</v>
      </c>
      <c r="B180">
        <v>-307.60830688476602</v>
      </c>
      <c r="C180">
        <v>-1.5830848606794299E-4</v>
      </c>
      <c r="D180" s="1">
        <v>3.3541044693108698E-7</v>
      </c>
      <c r="F180">
        <f t="shared" si="6"/>
        <v>-1.5830848606794298E-7</v>
      </c>
      <c r="G180">
        <f t="shared" si="7"/>
        <v>-24478.691288419606</v>
      </c>
      <c r="H180">
        <f t="shared" si="8"/>
        <v>-98942.803792464343</v>
      </c>
    </row>
    <row r="181" spans="1:8" x14ac:dyDescent="0.2">
      <c r="A181">
        <v>292.98400878906301</v>
      </c>
      <c r="B181">
        <v>-249.96183013916001</v>
      </c>
      <c r="C181">
        <v>-1.4692951510820499E-4</v>
      </c>
      <c r="D181" s="1">
        <v>2.9497166593989402E-7</v>
      </c>
      <c r="F181">
        <f t="shared" si="6"/>
        <v>-1.4692951510820499E-7</v>
      </c>
      <c r="G181">
        <f t="shared" si="7"/>
        <v>-19891.33042547201</v>
      </c>
      <c r="H181">
        <f t="shared" si="8"/>
        <v>-91830.946942628099</v>
      </c>
    </row>
    <row r="182" spans="1:8" x14ac:dyDescent="0.2">
      <c r="A182">
        <v>292.98448181152298</v>
      </c>
      <c r="B182">
        <v>-202.956657409668</v>
      </c>
      <c r="C182">
        <v>-1.37243164630102E-4</v>
      </c>
      <c r="D182" s="1">
        <v>3.0718902619682399E-7</v>
      </c>
      <c r="F182">
        <f t="shared" si="6"/>
        <v>-1.3724316463010201E-7</v>
      </c>
      <c r="G182">
        <f t="shared" si="7"/>
        <v>-16150.777630078504</v>
      </c>
      <c r="H182">
        <f t="shared" si="8"/>
        <v>-85776.977893813746</v>
      </c>
    </row>
    <row r="183" spans="1:8" x14ac:dyDescent="0.2">
      <c r="A183">
        <v>292.98405456542997</v>
      </c>
      <c r="B183">
        <v>-164.622520446777</v>
      </c>
      <c r="C183">
        <v>-1.28172141555027E-4</v>
      </c>
      <c r="D183" s="1">
        <v>3.3732406184347098E-7</v>
      </c>
      <c r="F183">
        <f t="shared" si="6"/>
        <v>-1.2817214155502699E-7</v>
      </c>
      <c r="G183">
        <f t="shared" si="7"/>
        <v>-13100.243936675584</v>
      </c>
      <c r="H183">
        <f t="shared" si="8"/>
        <v>-80107.588471891853</v>
      </c>
    </row>
    <row r="184" spans="1:8" x14ac:dyDescent="0.2">
      <c r="A184">
        <v>292.98371887207003</v>
      </c>
      <c r="B184">
        <v>-133.94250488281199</v>
      </c>
      <c r="C184">
        <v>-1.21185021286301E-4</v>
      </c>
      <c r="D184" s="1">
        <v>3.2669558357831799E-7</v>
      </c>
      <c r="F184">
        <f t="shared" si="6"/>
        <v>-1.2118502128630101E-7</v>
      </c>
      <c r="G184">
        <f t="shared" si="7"/>
        <v>-10658.805871104927</v>
      </c>
      <c r="H184">
        <f t="shared" si="8"/>
        <v>-75740.638303938118</v>
      </c>
    </row>
    <row r="185" spans="1:8" x14ac:dyDescent="0.2">
      <c r="A185">
        <v>292.98480224609398</v>
      </c>
      <c r="B185">
        <v>-109.00079345703099</v>
      </c>
      <c r="C185">
        <v>-1.14988517860162E-4</v>
      </c>
      <c r="D185" s="1">
        <v>3.6954060605264901E-7</v>
      </c>
      <c r="F185">
        <f t="shared" si="6"/>
        <v>-1.1498851786016199E-7</v>
      </c>
      <c r="G185">
        <f t="shared" si="7"/>
        <v>-8674.0075398126028</v>
      </c>
      <c r="H185">
        <f t="shared" si="8"/>
        <v>-71867.823662601237</v>
      </c>
    </row>
    <row r="186" spans="1:8" x14ac:dyDescent="0.2">
      <c r="A186">
        <v>292.98550415039102</v>
      </c>
      <c r="B186">
        <v>-88.462696075439396</v>
      </c>
      <c r="C186">
        <v>-1.1029666726177E-4</v>
      </c>
      <c r="D186" s="1">
        <v>3.2059618740291402E-7</v>
      </c>
      <c r="F186">
        <f t="shared" si="6"/>
        <v>-1.1029666726176999E-7</v>
      </c>
      <c r="G186">
        <f t="shared" si="7"/>
        <v>-7039.6376798210949</v>
      </c>
      <c r="H186">
        <f t="shared" si="8"/>
        <v>-68935.417038606232</v>
      </c>
    </row>
    <row r="187" spans="1:8" x14ac:dyDescent="0.2">
      <c r="A187">
        <v>292.98532104492199</v>
      </c>
      <c r="B187">
        <v>-71.937797546386705</v>
      </c>
      <c r="C187">
        <v>-1.05839329033021E-4</v>
      </c>
      <c r="D187" s="1">
        <v>3.0801472637528103E-7</v>
      </c>
      <c r="F187">
        <f t="shared" si="6"/>
        <v>-1.05839329033021E-7</v>
      </c>
      <c r="G187">
        <f t="shared" si="7"/>
        <v>-5724.6280373257323</v>
      </c>
      <c r="H187">
        <f t="shared" si="8"/>
        <v>-66149.580645638111</v>
      </c>
    </row>
    <row r="188" spans="1:8" x14ac:dyDescent="0.2">
      <c r="A188">
        <v>292.98443603515602</v>
      </c>
      <c r="B188">
        <v>-58.527206420898402</v>
      </c>
      <c r="C188">
        <v>-1.0214374329677E-4</v>
      </c>
      <c r="D188" s="1">
        <v>2.92336244725294E-7</v>
      </c>
      <c r="F188">
        <f t="shared" si="6"/>
        <v>-1.0214374329677E-7</v>
      </c>
      <c r="G188">
        <f t="shared" si="7"/>
        <v>-4657.4471036228488</v>
      </c>
      <c r="H188">
        <f t="shared" si="8"/>
        <v>-63839.839560481239</v>
      </c>
    </row>
    <row r="189" spans="1:8" x14ac:dyDescent="0.2">
      <c r="A189">
        <v>292.98597717285202</v>
      </c>
      <c r="B189">
        <v>-47.622585296630902</v>
      </c>
      <c r="C189" s="1">
        <v>-9.8713696381845704E-5</v>
      </c>
      <c r="D189" s="1">
        <v>3.5043009511519401E-7</v>
      </c>
      <c r="F189">
        <f t="shared" si="6"/>
        <v>-9.871369638184571E-8</v>
      </c>
      <c r="G189">
        <f t="shared" si="7"/>
        <v>-3789.6849263871118</v>
      </c>
      <c r="H189">
        <f t="shared" si="8"/>
        <v>-61696.060238653561</v>
      </c>
    </row>
    <row r="190" spans="1:8" x14ac:dyDescent="0.2">
      <c r="A190">
        <v>292.98571777343801</v>
      </c>
      <c r="B190">
        <v>-38.670085906982401</v>
      </c>
      <c r="C190" s="1">
        <v>-9.5444914281435597E-5</v>
      </c>
      <c r="D190" s="1">
        <v>3.2320964275262199E-7</v>
      </c>
      <c r="F190">
        <f t="shared" si="6"/>
        <v>-9.5444914281435602E-8</v>
      </c>
      <c r="G190">
        <f t="shared" si="7"/>
        <v>-3077.2676609422438</v>
      </c>
      <c r="H190">
        <f t="shared" si="8"/>
        <v>-59653.071425897244</v>
      </c>
    </row>
    <row r="191" spans="1:8" x14ac:dyDescent="0.2">
      <c r="A191">
        <v>292.98565673828102</v>
      </c>
      <c r="B191">
        <v>-31.606143951416001</v>
      </c>
      <c r="C191" s="1">
        <v>-9.3216636811226903E-5</v>
      </c>
      <c r="D191" s="1">
        <v>2.4019802247160599E-7</v>
      </c>
      <c r="F191">
        <f t="shared" si="6"/>
        <v>-9.3216636811226902E-8</v>
      </c>
      <c r="G191">
        <f t="shared" si="7"/>
        <v>-2515.137020970933</v>
      </c>
      <c r="H191">
        <f t="shared" si="8"/>
        <v>-58260.398007016804</v>
      </c>
    </row>
    <row r="192" spans="1:8" x14ac:dyDescent="0.2">
      <c r="A192">
        <v>292.98564147949202</v>
      </c>
      <c r="B192">
        <v>-25.649914741516099</v>
      </c>
      <c r="C192" s="1">
        <v>-9.1108301316558397E-5</v>
      </c>
      <c r="D192" s="1">
        <v>3.0243869354109399E-7</v>
      </c>
      <c r="F192">
        <f t="shared" si="6"/>
        <v>-9.1108301316558398E-8</v>
      </c>
      <c r="G192">
        <f t="shared" si="7"/>
        <v>-2041.1553604989811</v>
      </c>
      <c r="H192">
        <f t="shared" si="8"/>
        <v>-56942.68832284899</v>
      </c>
    </row>
    <row r="193" spans="1:8" x14ac:dyDescent="0.2">
      <c r="A193">
        <v>292.98597717285202</v>
      </c>
      <c r="B193">
        <v>-21.101028442382798</v>
      </c>
      <c r="C193" s="1">
        <v>-8.9755398369739699E-5</v>
      </c>
      <c r="D193" s="1">
        <v>3.3606954762663398E-7</v>
      </c>
      <c r="F193">
        <f t="shared" si="6"/>
        <v>-8.9755398369739702E-8</v>
      </c>
      <c r="G193">
        <f t="shared" si="7"/>
        <v>-1679.1664904639497</v>
      </c>
      <c r="H193">
        <f t="shared" si="8"/>
        <v>-56097.123981087301</v>
      </c>
    </row>
    <row r="194" spans="1:8" x14ac:dyDescent="0.2">
      <c r="A194">
        <v>292.98553466796898</v>
      </c>
      <c r="B194">
        <v>-17.1241550445557</v>
      </c>
      <c r="C194" s="1">
        <v>-8.8406955138948206E-5</v>
      </c>
      <c r="D194" s="1">
        <v>3.0275064457692699E-7</v>
      </c>
      <c r="F194">
        <f t="shared" si="6"/>
        <v>-8.8406955138948212E-8</v>
      </c>
      <c r="G194">
        <f t="shared" si="7"/>
        <v>-1362.6969608065276</v>
      </c>
      <c r="H194">
        <f t="shared" si="8"/>
        <v>-55254.346961842624</v>
      </c>
    </row>
    <row r="195" spans="1:8" x14ac:dyDescent="0.2">
      <c r="A195">
        <v>292.98617553710898</v>
      </c>
      <c r="B195">
        <v>-13.882733345031699</v>
      </c>
      <c r="C195" s="1">
        <v>-8.7181067427300103E-5</v>
      </c>
      <c r="D195" s="1">
        <v>3.22559813272069E-7</v>
      </c>
      <c r="F195">
        <f t="shared" si="6"/>
        <v>-8.71810674273001E-8</v>
      </c>
      <c r="G195">
        <f t="shared" si="7"/>
        <v>-1104.7528177442391</v>
      </c>
      <c r="H195">
        <f t="shared" si="8"/>
        <v>-54488.167142062557</v>
      </c>
    </row>
    <row r="196" spans="1:8" x14ac:dyDescent="0.2">
      <c r="A196">
        <v>292.98571777343801</v>
      </c>
      <c r="B196">
        <v>-11.340440750122101</v>
      </c>
      <c r="C196" s="1">
        <v>-8.4925459660497901E-5</v>
      </c>
      <c r="D196" s="1">
        <v>3.9685128812063101E-7</v>
      </c>
      <c r="F196">
        <f t="shared" si="6"/>
        <v>-8.4925459660497908E-8</v>
      </c>
      <c r="G196">
        <f t="shared" si="7"/>
        <v>-902.44360111134699</v>
      </c>
      <c r="H196">
        <f t="shared" si="8"/>
        <v>-53078.412287811181</v>
      </c>
    </row>
    <row r="197" spans="1:8" x14ac:dyDescent="0.2">
      <c r="A197">
        <v>292.98506164550798</v>
      </c>
      <c r="B197">
        <v>-9.5063581466674805</v>
      </c>
      <c r="C197" s="1">
        <v>-8.4227003049169998E-5</v>
      </c>
      <c r="D197" s="1">
        <v>3.14249888622158E-7</v>
      </c>
      <c r="F197">
        <f t="shared" si="6"/>
        <v>-8.4227003049169999E-8</v>
      </c>
      <c r="G197">
        <f t="shared" si="7"/>
        <v>-756.49194492201923</v>
      </c>
      <c r="H197">
        <f t="shared" si="8"/>
        <v>-52641.876905731238</v>
      </c>
    </row>
    <row r="198" spans="1:8" x14ac:dyDescent="0.2">
      <c r="A198">
        <v>292.98579406738298</v>
      </c>
      <c r="B198">
        <v>-7.8538677692413303</v>
      </c>
      <c r="C198" s="1">
        <v>-8.3755944227541994E-5</v>
      </c>
      <c r="D198" s="1">
        <v>3.3070291852773299E-7</v>
      </c>
      <c r="F198">
        <f t="shared" si="6"/>
        <v>-8.3755944227541989E-8</v>
      </c>
      <c r="G198">
        <f t="shared" si="7"/>
        <v>-624.99093893243742</v>
      </c>
      <c r="H198">
        <f t="shared" si="8"/>
        <v>-52347.465142213732</v>
      </c>
    </row>
    <row r="199" spans="1:8" x14ac:dyDescent="0.2">
      <c r="A199">
        <v>292.98628234863298</v>
      </c>
      <c r="B199">
        <v>-6.3829703330993697</v>
      </c>
      <c r="C199" s="1">
        <v>-8.2545772748125894E-5</v>
      </c>
      <c r="D199" s="1">
        <v>3.0690230001888302E-7</v>
      </c>
      <c r="F199">
        <f t="shared" si="6"/>
        <v>-8.25457727481259E-8</v>
      </c>
      <c r="G199">
        <f t="shared" si="7"/>
        <v>-507.94064006084324</v>
      </c>
      <c r="H199">
        <f t="shared" si="8"/>
        <v>-51591.107967578682</v>
      </c>
    </row>
    <row r="200" spans="1:8" x14ac:dyDescent="0.2">
      <c r="A200">
        <v>292.98551940917997</v>
      </c>
      <c r="B200">
        <v>-5.12998294830322</v>
      </c>
      <c r="C200" s="1">
        <v>-8.1897518013648393E-5</v>
      </c>
      <c r="D200" s="1">
        <v>3.6634451837297001E-7</v>
      </c>
      <c r="F200">
        <f t="shared" si="6"/>
        <v>-8.1897518013648396E-8</v>
      </c>
      <c r="G200">
        <f t="shared" si="7"/>
        <v>-408.23107209979622</v>
      </c>
      <c r="H200">
        <f t="shared" si="8"/>
        <v>-51185.948758530241</v>
      </c>
    </row>
    <row r="201" spans="1:8" x14ac:dyDescent="0.2">
      <c r="A201">
        <v>292.98468017578102</v>
      </c>
      <c r="B201">
        <v>-4.1766233444213903</v>
      </c>
      <c r="C201" s="1">
        <v>-8.1515935256245802E-5</v>
      </c>
      <c r="D201" s="1">
        <v>2.2384856282533901E-7</v>
      </c>
      <c r="F201">
        <f t="shared" ref="F201:F257" si="9">C201/1000</f>
        <v>-8.1515935256245799E-8</v>
      </c>
      <c r="G201">
        <f t="shared" ref="G201:G257" si="10">(B201*1000)/(4*PI())</f>
        <v>-332.365125348834</v>
      </c>
      <c r="H201">
        <f t="shared" ref="H201:H257" si="11">F201/$G$4</f>
        <v>-50947.459535153619</v>
      </c>
    </row>
    <row r="202" spans="1:8" x14ac:dyDescent="0.2">
      <c r="A202">
        <v>292.98544311523398</v>
      </c>
      <c r="B202">
        <v>-3.8315980434417698</v>
      </c>
      <c r="C202" s="1">
        <v>-8.0493810074070503E-5</v>
      </c>
      <c r="D202" s="1">
        <v>3.6475815975678898E-7</v>
      </c>
      <c r="F202">
        <f t="shared" si="9"/>
        <v>-8.0493810074070508E-8</v>
      </c>
      <c r="G202">
        <f t="shared" si="10"/>
        <v>-304.90888427749621</v>
      </c>
      <c r="H202">
        <f t="shared" si="11"/>
        <v>-50308.631296294057</v>
      </c>
    </row>
    <row r="203" spans="1:8" x14ac:dyDescent="0.2">
      <c r="A203">
        <v>292.985595703125</v>
      </c>
      <c r="B203">
        <v>-3.0235121250152601</v>
      </c>
      <c r="C203" s="1">
        <v>-8.0327229613649795E-5</v>
      </c>
      <c r="D203" s="1">
        <v>2.92212231614563E-7</v>
      </c>
      <c r="F203">
        <f t="shared" si="9"/>
        <v>-8.0327229613649799E-8</v>
      </c>
      <c r="G203">
        <f t="shared" si="10"/>
        <v>-240.60345009722965</v>
      </c>
      <c r="H203">
        <f t="shared" si="11"/>
        <v>-50204.518508531117</v>
      </c>
    </row>
    <row r="204" spans="1:8" x14ac:dyDescent="0.2">
      <c r="A204">
        <v>292.98597717285202</v>
      </c>
      <c r="B204">
        <v>-2.34254097938538</v>
      </c>
      <c r="C204" s="1">
        <v>-8.00546576227244E-5</v>
      </c>
      <c r="D204" s="1">
        <v>3.3099506712766003E-7</v>
      </c>
      <c r="F204">
        <f t="shared" si="9"/>
        <v>-8.0054657622724393E-8</v>
      </c>
      <c r="G204">
        <f t="shared" si="10"/>
        <v>-186.41348813225648</v>
      </c>
      <c r="H204">
        <f t="shared" si="11"/>
        <v>-50034.161014202735</v>
      </c>
    </row>
    <row r="205" spans="1:8" x14ac:dyDescent="0.2">
      <c r="A205">
        <v>292.98699951171898</v>
      </c>
      <c r="B205">
        <v>-2.1246302127838099</v>
      </c>
      <c r="C205" s="1">
        <v>-7.9430158592872399E-5</v>
      </c>
      <c r="D205" s="1">
        <v>3.7907490196408799E-7</v>
      </c>
      <c r="F205">
        <f t="shared" si="9"/>
        <v>-7.9430158592872395E-8</v>
      </c>
      <c r="G205">
        <f t="shared" si="10"/>
        <v>-169.07270030346439</v>
      </c>
      <c r="H205">
        <f t="shared" si="11"/>
        <v>-49643.849120545237</v>
      </c>
    </row>
    <row r="206" spans="1:8" x14ac:dyDescent="0.2">
      <c r="A206">
        <v>292.986083984375</v>
      </c>
      <c r="B206">
        <v>-2.1246302127838099</v>
      </c>
      <c r="C206" s="1">
        <v>-7.9109831162430905E-5</v>
      </c>
      <c r="D206" s="1">
        <v>2.9190460002847298E-7</v>
      </c>
      <c r="F206">
        <f t="shared" si="9"/>
        <v>-7.910983116243091E-8</v>
      </c>
      <c r="G206">
        <f t="shared" si="10"/>
        <v>-169.07270030346439</v>
      </c>
      <c r="H206">
        <f t="shared" si="11"/>
        <v>-49443.644476519308</v>
      </c>
    </row>
    <row r="207" spans="1:8" x14ac:dyDescent="0.2">
      <c r="A207">
        <v>292.98693847656199</v>
      </c>
      <c r="B207">
        <v>-1.67972904443741</v>
      </c>
      <c r="C207" s="1">
        <v>-7.9289272399823895E-5</v>
      </c>
      <c r="D207" s="1">
        <v>3.2431218066304701E-7</v>
      </c>
      <c r="F207">
        <f t="shared" si="9"/>
        <v>-7.92892723998239E-8</v>
      </c>
      <c r="G207">
        <f t="shared" si="10"/>
        <v>-133.66859023861986</v>
      </c>
      <c r="H207">
        <f t="shared" si="11"/>
        <v>-49555.795249889932</v>
      </c>
    </row>
    <row r="208" spans="1:8" x14ac:dyDescent="0.2">
      <c r="A208">
        <v>292.98568725585898</v>
      </c>
      <c r="B208">
        <v>0.69913044571876504</v>
      </c>
      <c r="C208" s="1">
        <v>-7.7713865314826906E-5</v>
      </c>
      <c r="D208" s="1">
        <v>3.3074515784988202E-7</v>
      </c>
      <c r="F208">
        <f t="shared" si="9"/>
        <v>-7.7713865314826903E-8</v>
      </c>
      <c r="G208">
        <f t="shared" si="10"/>
        <v>55.635033151090738</v>
      </c>
      <c r="H208">
        <f t="shared" si="11"/>
        <v>-48571.165821766808</v>
      </c>
    </row>
    <row r="209" spans="1:8" x14ac:dyDescent="0.2">
      <c r="A209">
        <v>292.98573303222702</v>
      </c>
      <c r="B209">
        <v>0.66281196475029003</v>
      </c>
      <c r="C209" s="1">
        <v>-7.8029285100753899E-5</v>
      </c>
      <c r="D209" s="1">
        <v>2.88584832452473E-7</v>
      </c>
      <c r="F209">
        <f t="shared" si="9"/>
        <v>-7.8029285100753899E-8</v>
      </c>
      <c r="G209">
        <f t="shared" si="10"/>
        <v>52.744900265229873</v>
      </c>
      <c r="H209">
        <f t="shared" si="11"/>
        <v>-48768.303187971178</v>
      </c>
    </row>
    <row r="210" spans="1:8" x14ac:dyDescent="0.2">
      <c r="A210">
        <v>292.98663330078102</v>
      </c>
      <c r="B210">
        <v>1.1349520683288601</v>
      </c>
      <c r="C210" s="1">
        <v>-7.7020761727619394E-5</v>
      </c>
      <c r="D210" s="1">
        <v>2.5517651033090801E-7</v>
      </c>
      <c r="F210">
        <f t="shared" si="9"/>
        <v>-7.7020761727619399E-8</v>
      </c>
      <c r="G210">
        <f t="shared" si="10"/>
        <v>90.316615923454322</v>
      </c>
      <c r="H210">
        <f t="shared" si="11"/>
        <v>-48137.97607976212</v>
      </c>
    </row>
    <row r="211" spans="1:8" x14ac:dyDescent="0.2">
      <c r="A211">
        <v>292.98626708984398</v>
      </c>
      <c r="B211">
        <v>1.60709208250046</v>
      </c>
      <c r="C211" s="1">
        <v>-7.76612505529246E-5</v>
      </c>
      <c r="D211" s="1">
        <v>3.9388257980883802E-7</v>
      </c>
      <c r="F211">
        <f t="shared" si="9"/>
        <v>-7.7661250552924596E-8</v>
      </c>
      <c r="G211">
        <f t="shared" si="10"/>
        <v>127.88832446689814</v>
      </c>
      <c r="H211">
        <f t="shared" si="11"/>
        <v>-48538.281595577864</v>
      </c>
    </row>
    <row r="212" spans="1:8" x14ac:dyDescent="0.2">
      <c r="A212">
        <v>292.98616027832003</v>
      </c>
      <c r="B212">
        <v>2.0792320966720599</v>
      </c>
      <c r="C212" s="1">
        <v>-7.6976713420908303E-5</v>
      </c>
      <c r="D212" s="1">
        <v>2.5623579198888201E-7</v>
      </c>
      <c r="F212">
        <f t="shared" si="9"/>
        <v>-7.6976713420908306E-8</v>
      </c>
      <c r="G212">
        <f t="shared" si="10"/>
        <v>165.46003301034196</v>
      </c>
      <c r="H212">
        <f t="shared" si="11"/>
        <v>-48110.445888067683</v>
      </c>
    </row>
    <row r="213" spans="1:8" x14ac:dyDescent="0.2">
      <c r="A213">
        <v>292.98661804199202</v>
      </c>
      <c r="B213">
        <v>2.7692829370498702</v>
      </c>
      <c r="C213" s="1">
        <v>-7.6895050181545105E-5</v>
      </c>
      <c r="D213" s="1">
        <v>3.21746823382634E-7</v>
      </c>
      <c r="F213">
        <f t="shared" si="9"/>
        <v>-7.6895050181545112E-8</v>
      </c>
      <c r="G213">
        <f t="shared" si="10"/>
        <v>220.37253412576445</v>
      </c>
      <c r="H213">
        <f t="shared" si="11"/>
        <v>-48059.406363465685</v>
      </c>
    </row>
    <row r="214" spans="1:8" x14ac:dyDescent="0.2">
      <c r="A214">
        <v>292.98652648925798</v>
      </c>
      <c r="B214">
        <v>3.3412986993789699</v>
      </c>
      <c r="C214" s="1">
        <v>-7.5921085041103994E-5</v>
      </c>
      <c r="D214" s="1">
        <v>3.1324113996408E-7</v>
      </c>
      <c r="F214">
        <f t="shared" si="9"/>
        <v>-7.5921085041103994E-8</v>
      </c>
      <c r="G214">
        <f t="shared" si="10"/>
        <v>265.89210217634195</v>
      </c>
      <c r="H214">
        <f t="shared" si="11"/>
        <v>-47450.678150689986</v>
      </c>
    </row>
    <row r="215" spans="1:8" x14ac:dyDescent="0.2">
      <c r="A215">
        <v>292.9873046875</v>
      </c>
      <c r="B215">
        <v>4.9756298065185502</v>
      </c>
      <c r="C215" s="1">
        <v>-7.6030468903310998E-5</v>
      </c>
      <c r="D215" s="1">
        <v>3.2561815746638498E-7</v>
      </c>
      <c r="F215">
        <f t="shared" si="9"/>
        <v>-7.6030468903310998E-8</v>
      </c>
      <c r="G215">
        <f t="shared" si="10"/>
        <v>395.94803935139902</v>
      </c>
      <c r="H215">
        <f t="shared" si="11"/>
        <v>-47519.043064569363</v>
      </c>
    </row>
    <row r="216" spans="1:8" x14ac:dyDescent="0.2">
      <c r="A216">
        <v>292.98648071289102</v>
      </c>
      <c r="B216">
        <v>5.3297348022460902</v>
      </c>
      <c r="C216" s="1">
        <v>-7.5724885423260896E-5</v>
      </c>
      <c r="D216" s="1">
        <v>4.13523934535502E-7</v>
      </c>
      <c r="F216">
        <f t="shared" si="9"/>
        <v>-7.5724885423260899E-8</v>
      </c>
      <c r="G216">
        <f t="shared" si="10"/>
        <v>424.12681957318529</v>
      </c>
      <c r="H216">
        <f t="shared" si="11"/>
        <v>-47328.053389538058</v>
      </c>
    </row>
    <row r="217" spans="1:8" x14ac:dyDescent="0.2">
      <c r="A217">
        <v>292.98654174804699</v>
      </c>
      <c r="B217">
        <v>7.3544890880584699</v>
      </c>
      <c r="C217" s="1">
        <v>-7.5014651951770995E-5</v>
      </c>
      <c r="D217" s="1">
        <v>2.8520690491870198E-7</v>
      </c>
      <c r="F217">
        <f t="shared" si="9"/>
        <v>-7.5014651951770998E-8</v>
      </c>
      <c r="G217">
        <f t="shared" si="10"/>
        <v>585.25164613995548</v>
      </c>
      <c r="H217">
        <f t="shared" si="11"/>
        <v>-46884.157469856866</v>
      </c>
    </row>
    <row r="218" spans="1:8" x14ac:dyDescent="0.2">
      <c r="A218">
        <v>292.98583984375</v>
      </c>
      <c r="B218">
        <v>8.9615807533264196</v>
      </c>
      <c r="C218" s="1">
        <v>-7.4836846750652206E-5</v>
      </c>
      <c r="D218" s="1">
        <v>2.6653650092801598E-7</v>
      </c>
      <c r="F218">
        <f t="shared" si="9"/>
        <v>-7.4836846750652212E-8</v>
      </c>
      <c r="G218">
        <f t="shared" si="10"/>
        <v>713.13993740454544</v>
      </c>
      <c r="H218">
        <f t="shared" si="11"/>
        <v>-46773.029219157623</v>
      </c>
    </row>
    <row r="219" spans="1:8" x14ac:dyDescent="0.2">
      <c r="A219">
        <v>292.98695373535202</v>
      </c>
      <c r="B219">
        <v>11.140688896179199</v>
      </c>
      <c r="C219" s="1">
        <v>-7.38488003066154E-5</v>
      </c>
      <c r="D219" s="1">
        <v>3.5003806211349102E-7</v>
      </c>
      <c r="F219">
        <f t="shared" si="9"/>
        <v>-7.3848800306615396E-8</v>
      </c>
      <c r="G219">
        <f t="shared" si="10"/>
        <v>886.54785363795543</v>
      </c>
      <c r="H219">
        <f t="shared" si="11"/>
        <v>-46155.500191634615</v>
      </c>
    </row>
    <row r="220" spans="1:8" x14ac:dyDescent="0.2">
      <c r="A220">
        <v>292.98735046386702</v>
      </c>
      <c r="B220">
        <v>13.719299793243399</v>
      </c>
      <c r="C220" s="1">
        <v>-7.3943223909507899E-5</v>
      </c>
      <c r="D220" s="1">
        <v>3.32036276652768E-7</v>
      </c>
      <c r="F220">
        <f t="shared" si="9"/>
        <v>-7.3943223909507904E-8</v>
      </c>
      <c r="G220">
        <f t="shared" si="10"/>
        <v>1091.7471889271524</v>
      </c>
      <c r="H220">
        <f t="shared" si="11"/>
        <v>-46214.514943442431</v>
      </c>
    </row>
    <row r="221" spans="1:8" x14ac:dyDescent="0.2">
      <c r="A221">
        <v>292.98674011230497</v>
      </c>
      <c r="B221">
        <v>16.8154487609863</v>
      </c>
      <c r="C221" s="1">
        <v>-7.2735038812852903E-5</v>
      </c>
      <c r="D221" s="1">
        <v>3.6539070479163898E-7</v>
      </c>
      <c r="F221">
        <f t="shared" si="9"/>
        <v>-7.2735038812852906E-8</v>
      </c>
      <c r="G221">
        <f t="shared" si="10"/>
        <v>1338.1308953097282</v>
      </c>
      <c r="H221">
        <f t="shared" si="11"/>
        <v>-45459.39925803306</v>
      </c>
    </row>
    <row r="222" spans="1:8" x14ac:dyDescent="0.2">
      <c r="A222">
        <v>292.98785400390602</v>
      </c>
      <c r="B222">
        <v>20.656126976013201</v>
      </c>
      <c r="C222" s="1">
        <v>-7.2343302857418297E-5</v>
      </c>
      <c r="D222" s="1">
        <v>3.1655307370854601E-7</v>
      </c>
      <c r="F222">
        <f t="shared" si="9"/>
        <v>-7.2343302857418297E-8</v>
      </c>
      <c r="G222">
        <f t="shared" si="10"/>
        <v>1643.7623566831726</v>
      </c>
      <c r="H222">
        <f t="shared" si="11"/>
        <v>-45214.56428588643</v>
      </c>
    </row>
    <row r="223" spans="1:8" x14ac:dyDescent="0.2">
      <c r="A223">
        <v>292.98768615722702</v>
      </c>
      <c r="B223">
        <v>25.304889678955099</v>
      </c>
      <c r="C223" s="1">
        <v>-7.1599691128132294E-5</v>
      </c>
      <c r="D223" s="1">
        <v>3.5560372265090002E-7</v>
      </c>
      <c r="F223">
        <f t="shared" si="9"/>
        <v>-7.1599691128132299E-8</v>
      </c>
      <c r="G223">
        <f t="shared" si="10"/>
        <v>2013.6991384003943</v>
      </c>
      <c r="H223">
        <f t="shared" si="11"/>
        <v>-44749.806955082677</v>
      </c>
    </row>
    <row r="224" spans="1:8" x14ac:dyDescent="0.2">
      <c r="A224">
        <v>292.98681640625</v>
      </c>
      <c r="B224">
        <v>31.152163505554199</v>
      </c>
      <c r="C224" s="1">
        <v>-7.0512842003736705E-5</v>
      </c>
      <c r="D224" s="1">
        <v>3.6047170709472703E-7</v>
      </c>
      <c r="F224">
        <f t="shared" si="9"/>
        <v>-7.0512842003736699E-8</v>
      </c>
      <c r="G224">
        <f t="shared" si="10"/>
        <v>2479.0104049579486</v>
      </c>
      <c r="H224">
        <f t="shared" si="11"/>
        <v>-44070.526252335432</v>
      </c>
    </row>
    <row r="225" spans="1:8" x14ac:dyDescent="0.2">
      <c r="A225">
        <v>292.986572265625</v>
      </c>
      <c r="B225">
        <v>38.479413986206097</v>
      </c>
      <c r="C225" s="1">
        <v>-6.9536402101835803E-5</v>
      </c>
      <c r="D225" s="1">
        <v>3.2520695638347702E-7</v>
      </c>
      <c r="F225">
        <f t="shared" si="9"/>
        <v>-6.9536402101835804E-8</v>
      </c>
      <c r="G225">
        <f t="shared" si="10"/>
        <v>3062.0944715920568</v>
      </c>
      <c r="H225">
        <f t="shared" si="11"/>
        <v>-43460.251313647372</v>
      </c>
    </row>
    <row r="226" spans="1:8" x14ac:dyDescent="0.2">
      <c r="A226">
        <v>292.98704528808599</v>
      </c>
      <c r="B226">
        <v>47.295721054077099</v>
      </c>
      <c r="C226" s="1">
        <v>-6.7742150044017293E-5</v>
      </c>
      <c r="D226" s="1">
        <v>2.4456136657017397E-7</v>
      </c>
      <c r="F226">
        <f t="shared" si="9"/>
        <v>-6.7742150044017298E-8</v>
      </c>
      <c r="G226">
        <f t="shared" si="10"/>
        <v>3763.6738964258984</v>
      </c>
      <c r="H226">
        <f t="shared" si="11"/>
        <v>-42338.843777510803</v>
      </c>
    </row>
    <row r="227" spans="1:8" x14ac:dyDescent="0.2">
      <c r="A227">
        <v>292.98756408691401</v>
      </c>
      <c r="B227">
        <v>58.327457427978501</v>
      </c>
      <c r="C227" s="1">
        <v>-6.5769998863434199E-5</v>
      </c>
      <c r="D227" s="1">
        <v>3.3728644587587801E-7</v>
      </c>
      <c r="F227">
        <f t="shared" si="9"/>
        <v>-6.5769998863434197E-8</v>
      </c>
      <c r="G227">
        <f t="shared" si="10"/>
        <v>4641.5515838224337</v>
      </c>
      <c r="H227">
        <f t="shared" si="11"/>
        <v>-41106.249289646366</v>
      </c>
    </row>
    <row r="228" spans="1:8" x14ac:dyDescent="0.2">
      <c r="A228">
        <v>292.98709106445301</v>
      </c>
      <c r="B228">
        <v>71.901481628417997</v>
      </c>
      <c r="C228" s="1">
        <v>-6.3486631252616295E-5</v>
      </c>
      <c r="D228" s="1">
        <v>2.8348102658790102E-7</v>
      </c>
      <c r="F228">
        <f t="shared" si="9"/>
        <v>-6.348663125261629E-8</v>
      </c>
      <c r="G228">
        <f t="shared" si="10"/>
        <v>5721.7381083969121</v>
      </c>
      <c r="H228">
        <f t="shared" si="11"/>
        <v>-39679.144532885177</v>
      </c>
    </row>
    <row r="229" spans="1:8" x14ac:dyDescent="0.2">
      <c r="A229">
        <v>292.98785400390602</v>
      </c>
      <c r="B229">
        <v>88.480861663818402</v>
      </c>
      <c r="C229" s="1">
        <v>-6.0865235553857697E-5</v>
      </c>
      <c r="D229" s="1">
        <v>3.2912040637807698E-7</v>
      </c>
      <c r="F229">
        <f t="shared" si="9"/>
        <v>-6.0865235553857693E-8</v>
      </c>
      <c r="G229">
        <f t="shared" si="10"/>
        <v>7041.0832514134408</v>
      </c>
      <c r="H229">
        <f t="shared" si="11"/>
        <v>-38040.772221161053</v>
      </c>
    </row>
    <row r="230" spans="1:8" x14ac:dyDescent="0.2">
      <c r="A230">
        <v>292.98898315429699</v>
      </c>
      <c r="B230">
        <v>108.71024703979499</v>
      </c>
      <c r="C230" s="1">
        <v>-5.6679362038890997E-5</v>
      </c>
      <c r="D230" s="1">
        <v>2.5849108207742002E-7</v>
      </c>
      <c r="F230">
        <f t="shared" si="9"/>
        <v>-5.6679362038890999E-8</v>
      </c>
      <c r="G230">
        <f t="shared" si="10"/>
        <v>8650.8865905622279</v>
      </c>
      <c r="H230">
        <f t="shared" si="11"/>
        <v>-35424.601274306871</v>
      </c>
    </row>
    <row r="231" spans="1:8" x14ac:dyDescent="0.2">
      <c r="A231">
        <v>292.98736572265602</v>
      </c>
      <c r="B231">
        <v>134.00605773925801</v>
      </c>
      <c r="C231" s="1">
        <v>-5.02664534294931E-5</v>
      </c>
      <c r="D231" s="1">
        <v>2.6782392766160698E-7</v>
      </c>
      <c r="F231">
        <f t="shared" si="9"/>
        <v>-5.0266453429493102E-8</v>
      </c>
      <c r="G231">
        <f t="shared" si="10"/>
        <v>10663.863246730425</v>
      </c>
      <c r="H231">
        <f t="shared" si="11"/>
        <v>-31416.533393433183</v>
      </c>
    </row>
    <row r="232" spans="1:8" x14ac:dyDescent="0.2">
      <c r="A232">
        <v>292.98777770996099</v>
      </c>
      <c r="B232">
        <v>164.82228088378901</v>
      </c>
      <c r="C232" s="1">
        <v>-4.2867750296334002E-5</v>
      </c>
      <c r="D232" s="1">
        <v>3.5227041037243501E-7</v>
      </c>
      <c r="F232">
        <f t="shared" si="9"/>
        <v>-4.2867750296334004E-8</v>
      </c>
      <c r="G232">
        <f t="shared" si="10"/>
        <v>13116.140367167915</v>
      </c>
      <c r="H232">
        <f t="shared" si="11"/>
        <v>-26792.343935208748</v>
      </c>
    </row>
    <row r="233" spans="1:8" x14ac:dyDescent="0.2">
      <c r="A233">
        <v>292.98844909667997</v>
      </c>
      <c r="B233">
        <v>202.811393737793</v>
      </c>
      <c r="C233" s="1">
        <v>-3.1672451570600301E-5</v>
      </c>
      <c r="D233" s="1">
        <v>3.3176324304149002E-7</v>
      </c>
      <c r="F233">
        <f t="shared" si="9"/>
        <v>-3.1672451570600299E-8</v>
      </c>
      <c r="G233">
        <f t="shared" si="10"/>
        <v>16139.217914363211</v>
      </c>
      <c r="H233">
        <f t="shared" si="11"/>
        <v>-19795.282231625184</v>
      </c>
    </row>
    <row r="234" spans="1:8" x14ac:dyDescent="0.2">
      <c r="A234">
        <v>292.98764038085898</v>
      </c>
      <c r="B234">
        <v>249.38073730468699</v>
      </c>
      <c r="C234" s="1">
        <v>-1.8477271521590899E-5</v>
      </c>
      <c r="D234" s="1">
        <v>3.4841913968985502E-7</v>
      </c>
      <c r="F234">
        <f t="shared" si="9"/>
        <v>-1.8477271521590899E-8</v>
      </c>
      <c r="G234">
        <f t="shared" si="10"/>
        <v>19845.08852697118</v>
      </c>
      <c r="H234">
        <f t="shared" si="11"/>
        <v>-11548.294700994311</v>
      </c>
    </row>
    <row r="235" spans="1:8" x14ac:dyDescent="0.2">
      <c r="A235">
        <v>292.98867797851602</v>
      </c>
      <c r="B235">
        <v>306.93643188476602</v>
      </c>
      <c r="C235" s="1">
        <v>-1.2194835937622401E-6</v>
      </c>
      <c r="D235" s="1">
        <v>3.1293036333430699E-7</v>
      </c>
      <c r="F235">
        <f t="shared" si="9"/>
        <v>-1.21948359376224E-9</v>
      </c>
      <c r="G235">
        <f t="shared" si="10"/>
        <v>24425.225174724674</v>
      </c>
      <c r="H235">
        <f t="shared" si="11"/>
        <v>-762.17724610139987</v>
      </c>
    </row>
    <row r="236" spans="1:8" x14ac:dyDescent="0.2">
      <c r="A236">
        <v>292.98941040039102</v>
      </c>
      <c r="B236">
        <v>378.15693664550798</v>
      </c>
      <c r="C236" s="1">
        <v>2.3511818030369001E-5</v>
      </c>
      <c r="D236" s="1">
        <v>3.0686898505217698E-7</v>
      </c>
      <c r="F236">
        <f t="shared" si="9"/>
        <v>2.3511818030369E-8</v>
      </c>
      <c r="G236">
        <f t="shared" si="10"/>
        <v>30092.772865810646</v>
      </c>
      <c r="H236">
        <f t="shared" si="11"/>
        <v>14694.886268980623</v>
      </c>
    </row>
    <row r="237" spans="1:8" x14ac:dyDescent="0.2">
      <c r="A237">
        <v>292.98809814453102</v>
      </c>
      <c r="B237">
        <v>465.73890686035202</v>
      </c>
      <c r="C237" s="1">
        <v>5.1542790196304497E-5</v>
      </c>
      <c r="D237" s="1">
        <v>3.04141966737365E-7</v>
      </c>
      <c r="F237">
        <f t="shared" si="9"/>
        <v>5.1542790196304497E-8</v>
      </c>
      <c r="G237">
        <f t="shared" si="10"/>
        <v>37062.324608520437</v>
      </c>
      <c r="H237">
        <f t="shared" si="11"/>
        <v>32214.243872690306</v>
      </c>
    </row>
    <row r="238" spans="1:8" x14ac:dyDescent="0.2">
      <c r="A238">
        <v>292.98721313476602</v>
      </c>
      <c r="B238">
        <v>573.63201904296898</v>
      </c>
      <c r="C238" s="1">
        <v>8.4037866760314599E-5</v>
      </c>
      <c r="D238" s="1">
        <v>2.9880237508477099E-7</v>
      </c>
      <c r="F238">
        <f t="shared" si="9"/>
        <v>8.4037866760314606E-8</v>
      </c>
      <c r="G238">
        <f t="shared" si="10"/>
        <v>45648.185673236374</v>
      </c>
      <c r="H238">
        <f t="shared" si="11"/>
        <v>52523.666725196621</v>
      </c>
    </row>
    <row r="239" spans="1:8" x14ac:dyDescent="0.2">
      <c r="A239">
        <v>292.98834228515602</v>
      </c>
      <c r="B239">
        <v>706.40322875976597</v>
      </c>
      <c r="C239">
        <v>1.2372486302198401E-4</v>
      </c>
      <c r="D239" s="1">
        <v>3.4127236784327402E-7</v>
      </c>
      <c r="F239">
        <f t="shared" si="9"/>
        <v>1.2372486302198401E-7</v>
      </c>
      <c r="G239">
        <f t="shared" si="10"/>
        <v>56213.782836595841</v>
      </c>
      <c r="H239">
        <f t="shared" si="11"/>
        <v>77328.039388739999</v>
      </c>
    </row>
    <row r="240" spans="1:8" x14ac:dyDescent="0.2">
      <c r="A240">
        <v>292.98788452148398</v>
      </c>
      <c r="B240">
        <v>870.14501953125</v>
      </c>
      <c r="C240">
        <v>1.62708724225612E-4</v>
      </c>
      <c r="D240" s="1">
        <v>3.5768640204196502E-7</v>
      </c>
      <c r="F240">
        <f t="shared" si="9"/>
        <v>1.62708724225612E-7</v>
      </c>
      <c r="G240">
        <f t="shared" si="10"/>
        <v>69243.940532596127</v>
      </c>
      <c r="H240">
        <f t="shared" si="11"/>
        <v>101692.95264100749</v>
      </c>
    </row>
    <row r="241" spans="1:8" x14ac:dyDescent="0.2">
      <c r="A241">
        <v>292.98857116699202</v>
      </c>
      <c r="B241">
        <v>1071.2040405273401</v>
      </c>
      <c r="C241">
        <v>2.0125558795537401E-4</v>
      </c>
      <c r="D241" s="1">
        <v>3.2191886960469601E-7</v>
      </c>
      <c r="F241">
        <f t="shared" si="9"/>
        <v>2.0125558795537402E-7</v>
      </c>
      <c r="G241">
        <f t="shared" si="10"/>
        <v>85243.709054968582</v>
      </c>
      <c r="H241">
        <f t="shared" si="11"/>
        <v>125784.74247210874</v>
      </c>
    </row>
    <row r="242" spans="1:8" x14ac:dyDescent="0.2">
      <c r="A242">
        <v>292.98759460449202</v>
      </c>
      <c r="B242">
        <v>1319.51342773438</v>
      </c>
      <c r="C242">
        <v>2.39132594150553E-4</v>
      </c>
      <c r="D242" s="1">
        <v>3.2456847383820498E-7</v>
      </c>
      <c r="F242">
        <f t="shared" si="9"/>
        <v>2.39132594150553E-7</v>
      </c>
      <c r="G242">
        <f t="shared" si="10"/>
        <v>105003.54225002849</v>
      </c>
      <c r="H242">
        <f t="shared" si="11"/>
        <v>149457.87134409559</v>
      </c>
    </row>
    <row r="243" spans="1:8" x14ac:dyDescent="0.2">
      <c r="A243">
        <v>292.98809814453102</v>
      </c>
      <c r="B243">
        <v>1624.7156372070301</v>
      </c>
      <c r="C243">
        <v>2.7498986414925699E-4</v>
      </c>
      <c r="D243" s="1">
        <v>3.4571894041008398E-7</v>
      </c>
      <c r="F243">
        <f t="shared" si="9"/>
        <v>2.7498986414925698E-7</v>
      </c>
      <c r="G243">
        <f t="shared" si="10"/>
        <v>129290.76239009868</v>
      </c>
      <c r="H243">
        <f t="shared" si="11"/>
        <v>171868.66509328558</v>
      </c>
    </row>
    <row r="244" spans="1:8" x14ac:dyDescent="0.2">
      <c r="A244">
        <v>292.98838806152298</v>
      </c>
      <c r="B244">
        <v>2001.27453613281</v>
      </c>
      <c r="C244">
        <v>3.0780628700100601E-4</v>
      </c>
      <c r="D244" s="1">
        <v>3.4404557028785503E-7</v>
      </c>
      <c r="F244">
        <f t="shared" si="9"/>
        <v>3.0780628700100599E-7</v>
      </c>
      <c r="G244">
        <f t="shared" si="10"/>
        <v>159256.3674547383</v>
      </c>
      <c r="H244">
        <f t="shared" si="11"/>
        <v>192378.92937562871</v>
      </c>
    </row>
    <row r="245" spans="1:8" x14ac:dyDescent="0.2">
      <c r="A245">
        <v>292.98913574218801</v>
      </c>
      <c r="B245">
        <v>2464.25317382813</v>
      </c>
      <c r="C245">
        <v>3.3910291163452002E-4</v>
      </c>
      <c r="D245" s="1">
        <v>3.1559643069206802E-7</v>
      </c>
      <c r="F245">
        <f t="shared" si="9"/>
        <v>3.3910291163452004E-7</v>
      </c>
      <c r="G245">
        <f t="shared" si="10"/>
        <v>196099.03682231926</v>
      </c>
      <c r="H245">
        <f t="shared" si="11"/>
        <v>211939.31977157498</v>
      </c>
    </row>
    <row r="246" spans="1:8" x14ac:dyDescent="0.2">
      <c r="A246">
        <v>292.98962402343801</v>
      </c>
      <c r="B246">
        <v>3034.9979248046898</v>
      </c>
      <c r="C246">
        <v>3.6790430967110197E-4</v>
      </c>
      <c r="D246" s="1">
        <v>2.8614856237578598E-7</v>
      </c>
      <c r="F246">
        <f t="shared" si="9"/>
        <v>3.6790430967110195E-7</v>
      </c>
      <c r="G246">
        <f t="shared" si="10"/>
        <v>241517.46100315545</v>
      </c>
      <c r="H246">
        <f t="shared" si="11"/>
        <v>229940.19354443869</v>
      </c>
    </row>
    <row r="247" spans="1:8" x14ac:dyDescent="0.2">
      <c r="A247">
        <v>292.98828125</v>
      </c>
      <c r="B247">
        <v>3738.13256835937</v>
      </c>
      <c r="C247">
        <v>3.9372981562573698E-4</v>
      </c>
      <c r="D247" s="1">
        <v>3.3163676487371998E-7</v>
      </c>
      <c r="F247">
        <f t="shared" si="9"/>
        <v>3.93729815625737E-7</v>
      </c>
      <c r="G247">
        <f t="shared" si="10"/>
        <v>297471.13809359807</v>
      </c>
      <c r="H247">
        <f t="shared" si="11"/>
        <v>246081.1347660856</v>
      </c>
    </row>
    <row r="248" spans="1:8" x14ac:dyDescent="0.2">
      <c r="A248">
        <v>292.98876953125</v>
      </c>
      <c r="B248">
        <v>4603.5651855468705</v>
      </c>
      <c r="C248">
        <v>4.1446923245252201E-4</v>
      </c>
      <c r="D248" s="1">
        <v>3.2146734088877099E-7</v>
      </c>
      <c r="F248">
        <f t="shared" si="9"/>
        <v>4.14469232452522E-7</v>
      </c>
      <c r="G248">
        <f t="shared" si="10"/>
        <v>366340.07756277139</v>
      </c>
      <c r="H248">
        <f t="shared" si="11"/>
        <v>259043.27028282621</v>
      </c>
    </row>
    <row r="249" spans="1:8" x14ac:dyDescent="0.2">
      <c r="A249">
        <v>292.98944091796898</v>
      </c>
      <c r="B249">
        <v>5669.8752441406295</v>
      </c>
      <c r="C249">
        <v>4.2991294051078602E-4</v>
      </c>
      <c r="D249" s="1">
        <v>2.9412782337439798E-7</v>
      </c>
      <c r="F249">
        <f t="shared" si="9"/>
        <v>4.29912940510786E-7</v>
      </c>
      <c r="G249">
        <f t="shared" si="10"/>
        <v>451194.33590967406</v>
      </c>
      <c r="H249">
        <f t="shared" si="11"/>
        <v>268695.58781924122</v>
      </c>
    </row>
    <row r="250" spans="1:8" x14ac:dyDescent="0.2">
      <c r="A250">
        <v>292.98851013183599</v>
      </c>
      <c r="B250">
        <v>6982.2341308593795</v>
      </c>
      <c r="C250">
        <v>4.3767225198994899E-4</v>
      </c>
      <c r="D250" s="1">
        <v>3.2117174749004402E-7</v>
      </c>
      <c r="F250">
        <f t="shared" si="9"/>
        <v>4.3767225198994899E-7</v>
      </c>
      <c r="G250">
        <f t="shared" si="10"/>
        <v>555628.53787560691</v>
      </c>
      <c r="H250">
        <f t="shared" si="11"/>
        <v>273545.15749371808</v>
      </c>
    </row>
    <row r="251" spans="1:8" x14ac:dyDescent="0.2">
      <c r="A251">
        <v>292.98994445800798</v>
      </c>
      <c r="B251">
        <v>8599.14990234375</v>
      </c>
      <c r="C251">
        <v>4.4001755994511302E-4</v>
      </c>
      <c r="D251" s="1">
        <v>3.4227942275782501E-7</v>
      </c>
      <c r="F251">
        <f t="shared" si="9"/>
        <v>4.4001755994511304E-7</v>
      </c>
      <c r="G251">
        <f t="shared" si="10"/>
        <v>684298.6066730984</v>
      </c>
      <c r="H251">
        <f t="shared" si="11"/>
        <v>275010.97496569558</v>
      </c>
    </row>
    <row r="252" spans="1:8" x14ac:dyDescent="0.2">
      <c r="A252">
        <v>292.98873901367199</v>
      </c>
      <c r="B252">
        <v>10590.291503906201</v>
      </c>
      <c r="C252">
        <v>4.3584997555929099E-4</v>
      </c>
      <c r="D252" s="1">
        <v>4.30706779726385E-7</v>
      </c>
      <c r="F252">
        <f t="shared" si="9"/>
        <v>4.3584997555929098E-7</v>
      </c>
      <c r="G252">
        <f t="shared" si="10"/>
        <v>842748.62081538711</v>
      </c>
      <c r="H252">
        <f t="shared" si="11"/>
        <v>272406.23472455679</v>
      </c>
    </row>
    <row r="253" spans="1:8" x14ac:dyDescent="0.2">
      <c r="A253">
        <v>292.98945617675798</v>
      </c>
      <c r="B253">
        <v>13041.65234375</v>
      </c>
      <c r="C253">
        <v>4.2237978073366301E-4</v>
      </c>
      <c r="D253" s="1">
        <v>4.2151294329618402E-7</v>
      </c>
      <c r="F253">
        <f t="shared" si="9"/>
        <v>4.2237978073366304E-7</v>
      </c>
      <c r="G253">
        <f t="shared" si="10"/>
        <v>1037821.7182969074</v>
      </c>
      <c r="H253">
        <f t="shared" si="11"/>
        <v>263987.36295853934</v>
      </c>
    </row>
    <row r="254" spans="1:8" x14ac:dyDescent="0.2">
      <c r="A254">
        <v>292.99066162109398</v>
      </c>
      <c r="B254">
        <v>16061.46875</v>
      </c>
      <c r="C254">
        <v>4.00794188430155E-4</v>
      </c>
      <c r="D254" s="1">
        <v>5.1781895372287504E-7</v>
      </c>
      <c r="F254">
        <f t="shared" si="9"/>
        <v>4.0079418843015502E-7</v>
      </c>
      <c r="G254">
        <f t="shared" si="10"/>
        <v>1278131.0724392526</v>
      </c>
      <c r="H254">
        <f t="shared" si="11"/>
        <v>250496.36776884686</v>
      </c>
    </row>
    <row r="255" spans="1:8" x14ac:dyDescent="0.2">
      <c r="A255">
        <v>292.99057006835898</v>
      </c>
      <c r="B255">
        <v>19779.8076171875</v>
      </c>
      <c r="C255">
        <v>3.6741030634880302E-4</v>
      </c>
      <c r="D255" s="1">
        <v>5.8309822338694105E-7</v>
      </c>
      <c r="F255">
        <f t="shared" si="9"/>
        <v>3.6741030634880301E-7</v>
      </c>
      <c r="G255">
        <f t="shared" si="10"/>
        <v>1574027.0778410572</v>
      </c>
      <c r="H255">
        <f t="shared" si="11"/>
        <v>229631.44146800184</v>
      </c>
    </row>
    <row r="256" spans="1:8" x14ac:dyDescent="0.2">
      <c r="A256">
        <v>292.99197387695301</v>
      </c>
      <c r="B256">
        <v>24359.4033203125</v>
      </c>
      <c r="C256">
        <v>3.1739920170001601E-4</v>
      </c>
      <c r="D256" s="1">
        <v>6.1646584196545304E-7</v>
      </c>
      <c r="F256">
        <f t="shared" si="9"/>
        <v>3.1739920170001602E-7</v>
      </c>
      <c r="G256">
        <f t="shared" si="10"/>
        <v>1938459.7245984313</v>
      </c>
      <c r="H256">
        <f t="shared" si="11"/>
        <v>198374.50106250998</v>
      </c>
    </row>
    <row r="257" spans="1:8" x14ac:dyDescent="0.2">
      <c r="A257">
        <v>292.99147033691401</v>
      </c>
      <c r="B257">
        <v>30000.16015625</v>
      </c>
      <c r="C257">
        <v>2.4909323939088101E-4</v>
      </c>
      <c r="D257" s="1">
        <v>8.08117049610111E-7</v>
      </c>
      <c r="F257">
        <f t="shared" si="9"/>
        <v>2.4909323939088099E-7</v>
      </c>
      <c r="G257">
        <f t="shared" si="10"/>
        <v>2387336.8912078575</v>
      </c>
      <c r="H257">
        <f t="shared" si="11"/>
        <v>155683.27461930059</v>
      </c>
    </row>
    <row r="258" spans="1:8" x14ac:dyDescent="0.2">
      <c r="D258" s="1"/>
    </row>
    <row r="259" spans="1:8" x14ac:dyDescent="0.2">
      <c r="D259" s="1"/>
    </row>
    <row r="260" spans="1:8" x14ac:dyDescent="0.2">
      <c r="D260" s="1"/>
    </row>
    <row r="261" spans="1:8" x14ac:dyDescent="0.2">
      <c r="D261" s="1"/>
    </row>
    <row r="262" spans="1:8" x14ac:dyDescent="0.2">
      <c r="D262" s="1"/>
    </row>
    <row r="263" spans="1:8" x14ac:dyDescent="0.2">
      <c r="D263" s="1"/>
    </row>
    <row r="264" spans="1:8" x14ac:dyDescent="0.2">
      <c r="D264" s="1"/>
    </row>
    <row r="265" spans="1:8" x14ac:dyDescent="0.2">
      <c r="D265" s="1"/>
    </row>
    <row r="266" spans="1:8" x14ac:dyDescent="0.2">
      <c r="D266" s="1"/>
    </row>
    <row r="267" spans="1:8" x14ac:dyDescent="0.2">
      <c r="D267" s="1"/>
    </row>
    <row r="268" spans="1:8" x14ac:dyDescent="0.2">
      <c r="D268" s="1"/>
    </row>
    <row r="269" spans="1:8" x14ac:dyDescent="0.2">
      <c r="D269" s="1"/>
    </row>
    <row r="270" spans="1:8" x14ac:dyDescent="0.2">
      <c r="D270" s="1"/>
    </row>
    <row r="271" spans="1:8" x14ac:dyDescent="0.2">
      <c r="D271" s="1"/>
    </row>
    <row r="272" spans="1:8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  <row r="428" spans="4:4" x14ac:dyDescent="0.2">
      <c r="D428" s="1"/>
    </row>
    <row r="429" spans="4:4" x14ac:dyDescent="0.2">
      <c r="D429" s="1"/>
    </row>
    <row r="430" spans="4:4" x14ac:dyDescent="0.2">
      <c r="D430" s="1"/>
    </row>
    <row r="431" spans="4:4" x14ac:dyDescent="0.2">
      <c r="D431" s="1"/>
    </row>
    <row r="432" spans="4:4" x14ac:dyDescent="0.2">
      <c r="D432" s="1"/>
    </row>
    <row r="433" spans="4:4" x14ac:dyDescent="0.2">
      <c r="D433" s="1"/>
    </row>
    <row r="434" spans="4:4" x14ac:dyDescent="0.2">
      <c r="D434" s="1"/>
    </row>
    <row r="435" spans="4:4" x14ac:dyDescent="0.2">
      <c r="D435" s="1"/>
    </row>
    <row r="436" spans="4:4" x14ac:dyDescent="0.2">
      <c r="D436" s="1"/>
    </row>
    <row r="437" spans="4:4" x14ac:dyDescent="0.2">
      <c r="D437" s="1"/>
    </row>
    <row r="438" spans="4:4" x14ac:dyDescent="0.2">
      <c r="D438" s="1"/>
    </row>
    <row r="439" spans="4:4" x14ac:dyDescent="0.2">
      <c r="D439" s="1"/>
    </row>
    <row r="440" spans="4:4" x14ac:dyDescent="0.2">
      <c r="D440" s="1"/>
    </row>
    <row r="441" spans="4:4" x14ac:dyDescent="0.2">
      <c r="D441" s="1"/>
    </row>
    <row r="442" spans="4:4" x14ac:dyDescent="0.2">
      <c r="D442" s="1"/>
    </row>
    <row r="443" spans="4:4" x14ac:dyDescent="0.2">
      <c r="D443" s="1"/>
    </row>
    <row r="444" spans="4:4" x14ac:dyDescent="0.2">
      <c r="D444" s="1"/>
    </row>
    <row r="445" spans="4:4" x14ac:dyDescent="0.2">
      <c r="D445" s="1"/>
    </row>
    <row r="446" spans="4:4" x14ac:dyDescent="0.2">
      <c r="D446" s="1"/>
    </row>
    <row r="447" spans="4:4" x14ac:dyDescent="0.2">
      <c r="D447" s="1"/>
    </row>
    <row r="448" spans="4:4" x14ac:dyDescent="0.2">
      <c r="D448" s="1"/>
    </row>
    <row r="449" spans="4:4" x14ac:dyDescent="0.2">
      <c r="D449" s="1"/>
    </row>
    <row r="450" spans="4:4" x14ac:dyDescent="0.2">
      <c r="D450" s="1"/>
    </row>
    <row r="451" spans="4:4" x14ac:dyDescent="0.2">
      <c r="D451" s="1"/>
    </row>
    <row r="452" spans="4:4" x14ac:dyDescent="0.2">
      <c r="D452" s="1"/>
    </row>
    <row r="453" spans="4:4" x14ac:dyDescent="0.2">
      <c r="D453" s="1"/>
    </row>
    <row r="454" spans="4:4" x14ac:dyDescent="0.2">
      <c r="D454" s="1"/>
    </row>
    <row r="455" spans="4:4" x14ac:dyDescent="0.2">
      <c r="D455" s="1"/>
    </row>
    <row r="456" spans="4:4" x14ac:dyDescent="0.2">
      <c r="D456" s="1"/>
    </row>
    <row r="457" spans="4:4" x14ac:dyDescent="0.2">
      <c r="D457" s="1"/>
    </row>
    <row r="458" spans="4:4" x14ac:dyDescent="0.2">
      <c r="D458" s="1"/>
    </row>
    <row r="459" spans="4:4" x14ac:dyDescent="0.2">
      <c r="D459" s="1"/>
    </row>
    <row r="460" spans="4:4" x14ac:dyDescent="0.2">
      <c r="D460" s="1"/>
    </row>
    <row r="461" spans="4:4" x14ac:dyDescent="0.2">
      <c r="D461" s="1"/>
    </row>
    <row r="462" spans="4:4" x14ac:dyDescent="0.2">
      <c r="D462" s="1"/>
    </row>
    <row r="463" spans="4:4" x14ac:dyDescent="0.2">
      <c r="D463" s="1"/>
    </row>
    <row r="464" spans="4:4" x14ac:dyDescent="0.2">
      <c r="D464" s="1"/>
    </row>
    <row r="465" spans="4:4" x14ac:dyDescent="0.2">
      <c r="D465" s="1"/>
    </row>
    <row r="466" spans="4:4" x14ac:dyDescent="0.2">
      <c r="D466" s="1"/>
    </row>
    <row r="467" spans="4:4" x14ac:dyDescent="0.2">
      <c r="D467" s="1"/>
    </row>
    <row r="468" spans="4:4" x14ac:dyDescent="0.2">
      <c r="D468" s="1"/>
    </row>
    <row r="469" spans="4:4" x14ac:dyDescent="0.2">
      <c r="D469" s="1"/>
    </row>
    <row r="470" spans="4:4" x14ac:dyDescent="0.2">
      <c r="D470" s="1"/>
    </row>
    <row r="471" spans="4:4" x14ac:dyDescent="0.2">
      <c r="D471" s="1"/>
    </row>
    <row r="472" spans="4:4" x14ac:dyDescent="0.2">
      <c r="D472" s="1"/>
    </row>
    <row r="473" spans="4:4" x14ac:dyDescent="0.2">
      <c r="D473" s="1"/>
    </row>
    <row r="474" spans="4:4" x14ac:dyDescent="0.2">
      <c r="D474" s="1"/>
    </row>
    <row r="475" spans="4:4" x14ac:dyDescent="0.2">
      <c r="D475" s="1"/>
    </row>
    <row r="476" spans="4:4" x14ac:dyDescent="0.2">
      <c r="D476" s="1"/>
    </row>
    <row r="477" spans="4:4" x14ac:dyDescent="0.2">
      <c r="D477" s="1"/>
    </row>
    <row r="478" spans="4:4" x14ac:dyDescent="0.2">
      <c r="D478" s="1"/>
    </row>
    <row r="479" spans="4:4" x14ac:dyDescent="0.2">
      <c r="D479" s="1"/>
    </row>
    <row r="480" spans="4:4" x14ac:dyDescent="0.2">
      <c r="D480" s="1"/>
    </row>
    <row r="482" spans="4:4" x14ac:dyDescent="0.2">
      <c r="D482" s="1"/>
    </row>
    <row r="483" spans="4:4" x14ac:dyDescent="0.2">
      <c r="D483" s="1"/>
    </row>
    <row r="484" spans="4:4" x14ac:dyDescent="0.2">
      <c r="D484" s="1"/>
    </row>
    <row r="485" spans="4:4" x14ac:dyDescent="0.2">
      <c r="D485" s="1"/>
    </row>
    <row r="486" spans="4:4" x14ac:dyDescent="0.2">
      <c r="D486" s="1"/>
    </row>
    <row r="487" spans="4:4" x14ac:dyDescent="0.2">
      <c r="D487" s="1"/>
    </row>
    <row r="488" spans="4:4" x14ac:dyDescent="0.2">
      <c r="D488" s="1"/>
    </row>
    <row r="489" spans="4:4" x14ac:dyDescent="0.2">
      <c r="D489" s="1"/>
    </row>
    <row r="490" spans="4:4" x14ac:dyDescent="0.2">
      <c r="D490" s="1"/>
    </row>
    <row r="491" spans="4:4" x14ac:dyDescent="0.2">
      <c r="D491" s="1"/>
    </row>
    <row r="492" spans="4:4" x14ac:dyDescent="0.2">
      <c r="D492" s="1"/>
    </row>
    <row r="493" spans="4:4" x14ac:dyDescent="0.2">
      <c r="D493" s="1"/>
    </row>
    <row r="494" spans="4:4" x14ac:dyDescent="0.2">
      <c r="D494" s="1"/>
    </row>
    <row r="497" spans="4:4" x14ac:dyDescent="0.2">
      <c r="D497" s="1"/>
    </row>
    <row r="499" spans="4:4" x14ac:dyDescent="0.2">
      <c r="D499" s="1"/>
    </row>
    <row r="500" spans="4:4" x14ac:dyDescent="0.2">
      <c r="D500" s="1"/>
    </row>
    <row r="501" spans="4:4" x14ac:dyDescent="0.2">
      <c r="D501" s="1"/>
    </row>
    <row r="503" spans="4:4" x14ac:dyDescent="0.2">
      <c r="D503" s="1"/>
    </row>
    <row r="504" spans="4:4" x14ac:dyDescent="0.2">
      <c r="D504" s="1"/>
    </row>
    <row r="506" spans="4:4" x14ac:dyDescent="0.2">
      <c r="D506" s="1"/>
    </row>
    <row r="507" spans="4:4" x14ac:dyDescent="0.2">
      <c r="D507" s="1"/>
    </row>
    <row r="508" spans="4:4" x14ac:dyDescent="0.2">
      <c r="D508" s="1"/>
    </row>
    <row r="510" spans="4:4" x14ac:dyDescent="0.2">
      <c r="D510" s="1"/>
    </row>
    <row r="511" spans="4:4" x14ac:dyDescent="0.2">
      <c r="D511" s="1"/>
    </row>
    <row r="512" spans="4:4" x14ac:dyDescent="0.2">
      <c r="D512" s="1"/>
    </row>
    <row r="513" spans="4:4" x14ac:dyDescent="0.2">
      <c r="D513" s="1"/>
    </row>
    <row r="516" spans="4:4" x14ac:dyDescent="0.2">
      <c r="D516" s="1"/>
    </row>
    <row r="517" spans="4:4" x14ac:dyDescent="0.2">
      <c r="D517" s="1"/>
    </row>
    <row r="519" spans="4:4" x14ac:dyDescent="0.2">
      <c r="D519" s="1"/>
    </row>
    <row r="520" spans="4:4" x14ac:dyDescent="0.2">
      <c r="D520" s="1"/>
    </row>
    <row r="522" spans="4:4" x14ac:dyDescent="0.2">
      <c r="D522" s="1"/>
    </row>
    <row r="523" spans="4:4" x14ac:dyDescent="0.2">
      <c r="D523" s="1"/>
    </row>
    <row r="524" spans="4:4" x14ac:dyDescent="0.2">
      <c r="D524" s="1"/>
    </row>
    <row r="526" spans="4:4" x14ac:dyDescent="0.2">
      <c r="D526" s="1"/>
    </row>
    <row r="527" spans="4:4" x14ac:dyDescent="0.2">
      <c r="D527" s="1"/>
    </row>
    <row r="529" spans="4:4" x14ac:dyDescent="0.2">
      <c r="D529" s="1"/>
    </row>
    <row r="530" spans="4:4" x14ac:dyDescent="0.2">
      <c r="D530" s="1"/>
    </row>
    <row r="542" spans="4:4" x14ac:dyDescent="0.2">
      <c r="D542" s="1"/>
    </row>
    <row r="560" spans="4:4" x14ac:dyDescent="0.2">
      <c r="D560" s="1"/>
    </row>
    <row r="728" spans="4:4" x14ac:dyDescent="0.2">
      <c r="D728" s="1"/>
    </row>
    <row r="732" spans="4:4" x14ac:dyDescent="0.2">
      <c r="D732" s="1"/>
    </row>
    <row r="745" spans="4:4" x14ac:dyDescent="0.2">
      <c r="D745" s="1"/>
    </row>
    <row r="749" spans="4:4" x14ac:dyDescent="0.2">
      <c r="D749" s="1"/>
    </row>
    <row r="759" spans="4:4" x14ac:dyDescent="0.2">
      <c r="D759" s="1"/>
    </row>
    <row r="770" spans="4:4" x14ac:dyDescent="0.2">
      <c r="D770" s="1"/>
    </row>
    <row r="771" spans="4:4" x14ac:dyDescent="0.2">
      <c r="D771" s="1"/>
    </row>
    <row r="772" spans="4:4" x14ac:dyDescent="0.2">
      <c r="D772" s="1"/>
    </row>
    <row r="773" spans="4:4" x14ac:dyDescent="0.2">
      <c r="D773" s="1"/>
    </row>
    <row r="775" spans="4:4" x14ac:dyDescent="0.2">
      <c r="D775" s="1"/>
    </row>
    <row r="776" spans="4:4" x14ac:dyDescent="0.2">
      <c r="D776" s="1"/>
    </row>
    <row r="777" spans="4:4" x14ac:dyDescent="0.2">
      <c r="D777" s="1"/>
    </row>
    <row r="779" spans="4:4" x14ac:dyDescent="0.2">
      <c r="D779" s="1"/>
    </row>
    <row r="780" spans="4:4" x14ac:dyDescent="0.2">
      <c r="D780" s="1"/>
    </row>
    <row r="781" spans="4:4" x14ac:dyDescent="0.2">
      <c r="D781" s="1"/>
    </row>
    <row r="782" spans="4:4" x14ac:dyDescent="0.2">
      <c r="D782" s="1"/>
    </row>
    <row r="783" spans="4:4" x14ac:dyDescent="0.2">
      <c r="D783" s="1"/>
    </row>
    <row r="784" spans="4:4" x14ac:dyDescent="0.2">
      <c r="D784" s="1"/>
    </row>
    <row r="785" spans="4:4" x14ac:dyDescent="0.2">
      <c r="D785" s="1"/>
    </row>
    <row r="786" spans="4:4" x14ac:dyDescent="0.2">
      <c r="D786" s="1"/>
    </row>
    <row r="787" spans="4:4" x14ac:dyDescent="0.2">
      <c r="D787" s="1"/>
    </row>
    <row r="789" spans="4:4" x14ac:dyDescent="0.2">
      <c r="D789" s="1"/>
    </row>
    <row r="790" spans="4:4" x14ac:dyDescent="0.2">
      <c r="D790" s="1"/>
    </row>
    <row r="791" spans="4:4" x14ac:dyDescent="0.2">
      <c r="D791" s="1"/>
    </row>
    <row r="793" spans="4:4" x14ac:dyDescent="0.2">
      <c r="D793" s="1"/>
    </row>
    <row r="796" spans="4:4" x14ac:dyDescent="0.2">
      <c r="D796" s="1"/>
    </row>
    <row r="797" spans="4:4" x14ac:dyDescent="0.2">
      <c r="D797" s="1"/>
    </row>
    <row r="799" spans="4:4" x14ac:dyDescent="0.2">
      <c r="D799" s="1"/>
    </row>
    <row r="800" spans="4:4" x14ac:dyDescent="0.2">
      <c r="D800" s="1"/>
    </row>
    <row r="801" spans="4:4" x14ac:dyDescent="0.2">
      <c r="D801" s="1"/>
    </row>
    <row r="803" spans="4:4" x14ac:dyDescent="0.2">
      <c r="D803" s="1"/>
    </row>
    <row r="804" spans="4:4" x14ac:dyDescent="0.2">
      <c r="D804" s="1"/>
    </row>
    <row r="807" spans="4:4" x14ac:dyDescent="0.2">
      <c r="D807" s="1"/>
    </row>
    <row r="810" spans="4:4" x14ac:dyDescent="0.2">
      <c r="D810" s="1"/>
    </row>
    <row r="811" spans="4:4" x14ac:dyDescent="0.2">
      <c r="D811" s="1"/>
    </row>
    <row r="812" spans="4:4" x14ac:dyDescent="0.2">
      <c r="D812" s="1"/>
    </row>
    <row r="813" spans="4:4" x14ac:dyDescent="0.2">
      <c r="D813" s="1"/>
    </row>
    <row r="815" spans="4:4" x14ac:dyDescent="0.2">
      <c r="D815" s="1"/>
    </row>
    <row r="816" spans="4:4" x14ac:dyDescent="0.2">
      <c r="D816" s="1"/>
    </row>
    <row r="817" spans="4:4" x14ac:dyDescent="0.2">
      <c r="D817" s="1"/>
    </row>
    <row r="818" spans="4:4" x14ac:dyDescent="0.2">
      <c r="D818" s="1"/>
    </row>
    <row r="819" spans="4:4" x14ac:dyDescent="0.2">
      <c r="D819" s="1"/>
    </row>
    <row r="820" spans="4:4" x14ac:dyDescent="0.2">
      <c r="D820" s="1"/>
    </row>
    <row r="823" spans="4:4" x14ac:dyDescent="0.2">
      <c r="D823" s="1"/>
    </row>
    <row r="824" spans="4:4" x14ac:dyDescent="0.2">
      <c r="D824" s="1"/>
    </row>
    <row r="825" spans="4:4" x14ac:dyDescent="0.2">
      <c r="D825" s="1"/>
    </row>
    <row r="826" spans="4:4" x14ac:dyDescent="0.2">
      <c r="D826" s="1"/>
    </row>
    <row r="827" spans="4:4" x14ac:dyDescent="0.2">
      <c r="D827" s="1"/>
    </row>
    <row r="828" spans="4:4" x14ac:dyDescent="0.2">
      <c r="D828" s="1"/>
    </row>
    <row r="829" spans="4:4" x14ac:dyDescent="0.2">
      <c r="D829" s="1"/>
    </row>
    <row r="830" spans="4:4" x14ac:dyDescent="0.2">
      <c r="D830" s="1"/>
    </row>
    <row r="831" spans="4:4" x14ac:dyDescent="0.2">
      <c r="D831" s="1"/>
    </row>
    <row r="832" spans="4:4" x14ac:dyDescent="0.2">
      <c r="D832" s="1"/>
    </row>
    <row r="833" spans="4:4" x14ac:dyDescent="0.2">
      <c r="D833" s="1"/>
    </row>
    <row r="834" spans="4:4" x14ac:dyDescent="0.2">
      <c r="D834" s="1"/>
    </row>
    <row r="836" spans="4:4" x14ac:dyDescent="0.2">
      <c r="D836" s="1"/>
    </row>
    <row r="837" spans="4:4" x14ac:dyDescent="0.2">
      <c r="D837" s="1"/>
    </row>
    <row r="838" spans="4:4" x14ac:dyDescent="0.2">
      <c r="D838" s="1"/>
    </row>
    <row r="839" spans="4:4" x14ac:dyDescent="0.2">
      <c r="D839" s="1"/>
    </row>
    <row r="840" spans="4:4" x14ac:dyDescent="0.2">
      <c r="D840" s="1"/>
    </row>
    <row r="841" spans="4:4" x14ac:dyDescent="0.2">
      <c r="D841" s="1"/>
    </row>
    <row r="842" spans="4:4" x14ac:dyDescent="0.2">
      <c r="D842" s="1"/>
    </row>
    <row r="843" spans="4:4" x14ac:dyDescent="0.2">
      <c r="D843" s="1"/>
    </row>
    <row r="844" spans="4:4" x14ac:dyDescent="0.2">
      <c r="D844" s="1"/>
    </row>
    <row r="845" spans="4:4" x14ac:dyDescent="0.2">
      <c r="D845" s="1"/>
    </row>
    <row r="846" spans="4:4" x14ac:dyDescent="0.2">
      <c r="D846" s="1"/>
    </row>
    <row r="847" spans="4:4" x14ac:dyDescent="0.2">
      <c r="D847" s="1"/>
    </row>
    <row r="848" spans="4:4" x14ac:dyDescent="0.2">
      <c r="D848" s="1"/>
    </row>
    <row r="849" spans="4:4" x14ac:dyDescent="0.2">
      <c r="D849" s="1"/>
    </row>
    <row r="850" spans="4:4" x14ac:dyDescent="0.2">
      <c r="D850" s="1"/>
    </row>
    <row r="851" spans="4:4" x14ac:dyDescent="0.2">
      <c r="D851" s="1"/>
    </row>
    <row r="852" spans="4:4" x14ac:dyDescent="0.2">
      <c r="D852" s="1"/>
    </row>
    <row r="853" spans="4:4" x14ac:dyDescent="0.2">
      <c r="D853" s="1"/>
    </row>
    <row r="854" spans="4:4" x14ac:dyDescent="0.2">
      <c r="D854" s="1"/>
    </row>
    <row r="855" spans="4:4" x14ac:dyDescent="0.2">
      <c r="D855" s="1"/>
    </row>
    <row r="856" spans="4:4" x14ac:dyDescent="0.2">
      <c r="D856" s="1"/>
    </row>
    <row r="857" spans="4:4" x14ac:dyDescent="0.2">
      <c r="D857" s="1"/>
    </row>
    <row r="858" spans="4:4" x14ac:dyDescent="0.2">
      <c r="D858" s="1"/>
    </row>
    <row r="859" spans="4:4" x14ac:dyDescent="0.2">
      <c r="D859" s="1"/>
    </row>
    <row r="860" spans="4:4" x14ac:dyDescent="0.2">
      <c r="D860" s="1"/>
    </row>
    <row r="861" spans="4:4" x14ac:dyDescent="0.2">
      <c r="D861" s="1"/>
    </row>
    <row r="862" spans="4:4" x14ac:dyDescent="0.2">
      <c r="D862" s="1"/>
    </row>
    <row r="863" spans="4:4" x14ac:dyDescent="0.2">
      <c r="D863" s="1"/>
    </row>
    <row r="864" spans="4:4" x14ac:dyDescent="0.2">
      <c r="D864" s="1"/>
    </row>
    <row r="865" spans="4:4" x14ac:dyDescent="0.2">
      <c r="D865" s="1"/>
    </row>
    <row r="866" spans="4:4" x14ac:dyDescent="0.2">
      <c r="D866" s="1"/>
    </row>
    <row r="867" spans="4:4" x14ac:dyDescent="0.2">
      <c r="D867" s="1"/>
    </row>
    <row r="868" spans="4:4" x14ac:dyDescent="0.2">
      <c r="D868" s="1"/>
    </row>
    <row r="869" spans="4:4" x14ac:dyDescent="0.2">
      <c r="D869" s="1"/>
    </row>
    <row r="870" spans="4:4" x14ac:dyDescent="0.2">
      <c r="D870" s="1"/>
    </row>
    <row r="871" spans="4:4" x14ac:dyDescent="0.2">
      <c r="D871" s="1"/>
    </row>
    <row r="872" spans="4:4" x14ac:dyDescent="0.2">
      <c r="D872" s="1"/>
    </row>
    <row r="873" spans="4:4" x14ac:dyDescent="0.2">
      <c r="D873" s="1"/>
    </row>
    <row r="874" spans="4:4" x14ac:dyDescent="0.2">
      <c r="D874" s="1"/>
    </row>
    <row r="875" spans="4:4" x14ac:dyDescent="0.2">
      <c r="D875" s="1"/>
    </row>
    <row r="876" spans="4:4" x14ac:dyDescent="0.2">
      <c r="D876" s="1"/>
    </row>
    <row r="877" spans="4:4" x14ac:dyDescent="0.2">
      <c r="D877" s="1"/>
    </row>
    <row r="878" spans="4:4" x14ac:dyDescent="0.2">
      <c r="D878" s="1"/>
    </row>
    <row r="879" spans="4:4" x14ac:dyDescent="0.2">
      <c r="D879" s="1"/>
    </row>
    <row r="880" spans="4:4" x14ac:dyDescent="0.2">
      <c r="D880" s="1"/>
    </row>
    <row r="881" spans="4:4" x14ac:dyDescent="0.2">
      <c r="D881" s="1"/>
    </row>
    <row r="882" spans="4:4" x14ac:dyDescent="0.2">
      <c r="D882" s="1"/>
    </row>
    <row r="883" spans="4:4" x14ac:dyDescent="0.2">
      <c r="D883" s="1"/>
    </row>
    <row r="884" spans="4:4" x14ac:dyDescent="0.2">
      <c r="D884" s="1"/>
    </row>
    <row r="885" spans="4:4" x14ac:dyDescent="0.2">
      <c r="D885" s="1"/>
    </row>
    <row r="886" spans="4:4" x14ac:dyDescent="0.2">
      <c r="D886" s="1"/>
    </row>
    <row r="887" spans="4:4" x14ac:dyDescent="0.2">
      <c r="D887" s="1"/>
    </row>
    <row r="888" spans="4:4" x14ac:dyDescent="0.2">
      <c r="D888" s="1"/>
    </row>
    <row r="889" spans="4:4" x14ac:dyDescent="0.2">
      <c r="D889" s="1"/>
    </row>
    <row r="890" spans="4:4" x14ac:dyDescent="0.2">
      <c r="D890" s="1"/>
    </row>
    <row r="891" spans="4:4" x14ac:dyDescent="0.2">
      <c r="D891" s="1"/>
    </row>
    <row r="892" spans="4:4" x14ac:dyDescent="0.2">
      <c r="D892" s="1"/>
    </row>
    <row r="893" spans="4:4" x14ac:dyDescent="0.2">
      <c r="D893" s="1"/>
    </row>
    <row r="894" spans="4:4" x14ac:dyDescent="0.2">
      <c r="D894" s="1"/>
    </row>
    <row r="895" spans="4:4" x14ac:dyDescent="0.2">
      <c r="D895" s="1"/>
    </row>
    <row r="896" spans="4:4" x14ac:dyDescent="0.2">
      <c r="D896" s="1"/>
    </row>
    <row r="897" spans="4:4" x14ac:dyDescent="0.2">
      <c r="D897" s="1"/>
    </row>
    <row r="898" spans="4:4" x14ac:dyDescent="0.2">
      <c r="D898" s="1"/>
    </row>
    <row r="899" spans="4:4" x14ac:dyDescent="0.2">
      <c r="D899" s="1"/>
    </row>
    <row r="900" spans="4:4" x14ac:dyDescent="0.2">
      <c r="D900" s="1"/>
    </row>
    <row r="901" spans="4:4" x14ac:dyDescent="0.2">
      <c r="D901" s="1"/>
    </row>
    <row r="902" spans="4:4" x14ac:dyDescent="0.2">
      <c r="D902" s="1"/>
    </row>
    <row r="903" spans="4:4" x14ac:dyDescent="0.2">
      <c r="D903" s="1"/>
    </row>
    <row r="904" spans="4:4" x14ac:dyDescent="0.2">
      <c r="D904" s="1"/>
    </row>
    <row r="905" spans="4:4" x14ac:dyDescent="0.2">
      <c r="D905" s="1"/>
    </row>
    <row r="906" spans="4:4" x14ac:dyDescent="0.2">
      <c r="D906" s="1"/>
    </row>
    <row r="907" spans="4:4" x14ac:dyDescent="0.2">
      <c r="D907" s="1"/>
    </row>
    <row r="908" spans="4:4" x14ac:dyDescent="0.2">
      <c r="D908" s="1"/>
    </row>
    <row r="909" spans="4:4" x14ac:dyDescent="0.2">
      <c r="D909" s="1"/>
    </row>
    <row r="910" spans="4:4" x14ac:dyDescent="0.2">
      <c r="D910" s="1"/>
    </row>
    <row r="911" spans="4:4" x14ac:dyDescent="0.2">
      <c r="D911" s="1"/>
    </row>
    <row r="912" spans="4:4" x14ac:dyDescent="0.2">
      <c r="D912" s="1"/>
    </row>
    <row r="913" spans="4:4" x14ac:dyDescent="0.2">
      <c r="D913" s="1"/>
    </row>
    <row r="914" spans="4:4" x14ac:dyDescent="0.2">
      <c r="D914" s="1"/>
    </row>
    <row r="915" spans="4:4" x14ac:dyDescent="0.2">
      <c r="D915" s="1"/>
    </row>
    <row r="916" spans="4:4" x14ac:dyDescent="0.2">
      <c r="D916" s="1"/>
    </row>
    <row r="917" spans="4:4" x14ac:dyDescent="0.2">
      <c r="D917" s="1"/>
    </row>
    <row r="918" spans="4:4" x14ac:dyDescent="0.2">
      <c r="D918" s="1"/>
    </row>
    <row r="919" spans="4:4" x14ac:dyDescent="0.2">
      <c r="D919" s="1"/>
    </row>
    <row r="920" spans="4:4" x14ac:dyDescent="0.2">
      <c r="D920" s="1"/>
    </row>
    <row r="921" spans="4:4" x14ac:dyDescent="0.2">
      <c r="D921" s="1"/>
    </row>
    <row r="922" spans="4:4" x14ac:dyDescent="0.2">
      <c r="D922" s="1"/>
    </row>
    <row r="923" spans="4:4" x14ac:dyDescent="0.2">
      <c r="D923" s="1"/>
    </row>
    <row r="924" spans="4:4" x14ac:dyDescent="0.2">
      <c r="D924" s="1"/>
    </row>
    <row r="925" spans="4:4" x14ac:dyDescent="0.2">
      <c r="D925" s="1"/>
    </row>
    <row r="926" spans="4:4" x14ac:dyDescent="0.2">
      <c r="D926" s="1"/>
    </row>
    <row r="927" spans="4:4" x14ac:dyDescent="0.2">
      <c r="D927" s="1"/>
    </row>
    <row r="928" spans="4:4" x14ac:dyDescent="0.2">
      <c r="D928" s="1"/>
    </row>
    <row r="929" spans="4:4" x14ac:dyDescent="0.2">
      <c r="D929" s="1"/>
    </row>
    <row r="930" spans="4:4" x14ac:dyDescent="0.2">
      <c r="D930" s="1"/>
    </row>
    <row r="931" spans="4:4" x14ac:dyDescent="0.2">
      <c r="D931" s="1"/>
    </row>
    <row r="932" spans="4:4" x14ac:dyDescent="0.2">
      <c r="D932" s="1"/>
    </row>
    <row r="933" spans="4:4" x14ac:dyDescent="0.2">
      <c r="D933" s="1"/>
    </row>
    <row r="934" spans="4:4" x14ac:dyDescent="0.2">
      <c r="D934" s="1"/>
    </row>
    <row r="935" spans="4:4" x14ac:dyDescent="0.2">
      <c r="D935" s="1"/>
    </row>
    <row r="936" spans="4:4" x14ac:dyDescent="0.2">
      <c r="D936" s="1"/>
    </row>
    <row r="937" spans="4:4" x14ac:dyDescent="0.2">
      <c r="D937" s="1"/>
    </row>
    <row r="938" spans="4:4" x14ac:dyDescent="0.2">
      <c r="D938" s="1"/>
    </row>
    <row r="939" spans="4:4" x14ac:dyDescent="0.2">
      <c r="D939" s="1"/>
    </row>
    <row r="940" spans="4:4" x14ac:dyDescent="0.2">
      <c r="D940" s="1"/>
    </row>
    <row r="941" spans="4:4" x14ac:dyDescent="0.2">
      <c r="D941" s="1"/>
    </row>
    <row r="942" spans="4:4" x14ac:dyDescent="0.2">
      <c r="D942" s="1"/>
    </row>
    <row r="943" spans="4:4" x14ac:dyDescent="0.2">
      <c r="D943" s="1"/>
    </row>
    <row r="944" spans="4:4" x14ac:dyDescent="0.2">
      <c r="D944" s="1"/>
    </row>
    <row r="945" spans="4:4" x14ac:dyDescent="0.2">
      <c r="D945" s="1"/>
    </row>
    <row r="946" spans="4:4" x14ac:dyDescent="0.2">
      <c r="D946" s="1"/>
    </row>
    <row r="947" spans="4:4" x14ac:dyDescent="0.2">
      <c r="D947" s="1"/>
    </row>
    <row r="948" spans="4:4" x14ac:dyDescent="0.2">
      <c r="D948" s="1"/>
    </row>
    <row r="949" spans="4:4" x14ac:dyDescent="0.2">
      <c r="D949" s="1"/>
    </row>
    <row r="950" spans="4:4" x14ac:dyDescent="0.2">
      <c r="D950" s="1"/>
    </row>
    <row r="951" spans="4:4" x14ac:dyDescent="0.2">
      <c r="D951" s="1"/>
    </row>
    <row r="952" spans="4:4" x14ac:dyDescent="0.2">
      <c r="D952" s="1"/>
    </row>
    <row r="953" spans="4:4" x14ac:dyDescent="0.2">
      <c r="D953" s="1"/>
    </row>
    <row r="954" spans="4:4" x14ac:dyDescent="0.2">
      <c r="D954" s="1"/>
    </row>
    <row r="955" spans="4:4" x14ac:dyDescent="0.2">
      <c r="D955" s="1"/>
    </row>
    <row r="956" spans="4:4" x14ac:dyDescent="0.2">
      <c r="D956" s="1"/>
    </row>
    <row r="957" spans="4:4" x14ac:dyDescent="0.2">
      <c r="D957" s="1"/>
    </row>
    <row r="958" spans="4:4" x14ac:dyDescent="0.2">
      <c r="D958" s="1"/>
    </row>
    <row r="959" spans="4:4" x14ac:dyDescent="0.2">
      <c r="D959" s="1"/>
    </row>
    <row r="960" spans="4:4" x14ac:dyDescent="0.2">
      <c r="D960" s="1"/>
    </row>
    <row r="961" spans="4:4" x14ac:dyDescent="0.2">
      <c r="D961" s="1"/>
    </row>
    <row r="962" spans="4:4" x14ac:dyDescent="0.2">
      <c r="D962" s="1"/>
    </row>
    <row r="963" spans="4:4" x14ac:dyDescent="0.2">
      <c r="D963" s="1"/>
    </row>
    <row r="964" spans="4:4" x14ac:dyDescent="0.2">
      <c r="D964" s="1"/>
    </row>
    <row r="965" spans="4:4" x14ac:dyDescent="0.2">
      <c r="D965" s="1"/>
    </row>
    <row r="966" spans="4:4" x14ac:dyDescent="0.2">
      <c r="D966" s="1"/>
    </row>
    <row r="967" spans="4:4" x14ac:dyDescent="0.2">
      <c r="D967" s="1"/>
    </row>
    <row r="968" spans="4:4" x14ac:dyDescent="0.2">
      <c r="D968" s="1"/>
    </row>
    <row r="969" spans="4:4" x14ac:dyDescent="0.2">
      <c r="D969" s="1"/>
    </row>
    <row r="970" spans="4:4" x14ac:dyDescent="0.2">
      <c r="D970" s="1"/>
    </row>
    <row r="971" spans="4:4" x14ac:dyDescent="0.2">
      <c r="D971" s="1"/>
    </row>
    <row r="973" spans="4:4" x14ac:dyDescent="0.2">
      <c r="D973" s="1"/>
    </row>
    <row r="975" spans="4:4" x14ac:dyDescent="0.2">
      <c r="D975" s="1"/>
    </row>
    <row r="976" spans="4:4" x14ac:dyDescent="0.2">
      <c r="D976" s="1"/>
    </row>
    <row r="977" spans="4:4" x14ac:dyDescent="0.2">
      <c r="D977" s="1"/>
    </row>
    <row r="978" spans="4:4" x14ac:dyDescent="0.2">
      <c r="D978" s="1"/>
    </row>
    <row r="979" spans="4:4" x14ac:dyDescent="0.2">
      <c r="D979" s="1"/>
    </row>
    <row r="980" spans="4:4" x14ac:dyDescent="0.2">
      <c r="D980" s="1"/>
    </row>
    <row r="981" spans="4:4" x14ac:dyDescent="0.2">
      <c r="D981" s="1"/>
    </row>
    <row r="982" spans="4:4" x14ac:dyDescent="0.2">
      <c r="D982" s="1"/>
    </row>
    <row r="983" spans="4:4" x14ac:dyDescent="0.2">
      <c r="D983" s="1"/>
    </row>
    <row r="984" spans="4:4" x14ac:dyDescent="0.2">
      <c r="D984" s="1"/>
    </row>
    <row r="985" spans="4:4" x14ac:dyDescent="0.2">
      <c r="D985" s="1"/>
    </row>
    <row r="986" spans="4:4" x14ac:dyDescent="0.2">
      <c r="D986" s="1"/>
    </row>
    <row r="987" spans="4:4" x14ac:dyDescent="0.2">
      <c r="D987" s="1"/>
    </row>
    <row r="988" spans="4:4" x14ac:dyDescent="0.2">
      <c r="D988" s="1"/>
    </row>
    <row r="989" spans="4:4" x14ac:dyDescent="0.2">
      <c r="D989" s="1"/>
    </row>
    <row r="990" spans="4:4" x14ac:dyDescent="0.2">
      <c r="D990" s="1"/>
    </row>
    <row r="991" spans="4:4" x14ac:dyDescent="0.2">
      <c r="D991" s="1"/>
    </row>
    <row r="992" spans="4:4" x14ac:dyDescent="0.2">
      <c r="D992" s="1"/>
    </row>
    <row r="993" spans="4:4" x14ac:dyDescent="0.2">
      <c r="D993" s="1"/>
    </row>
    <row r="994" spans="4:4" x14ac:dyDescent="0.2">
      <c r="D994" s="1"/>
    </row>
    <row r="995" spans="4:4" x14ac:dyDescent="0.2">
      <c r="D995" s="1"/>
    </row>
    <row r="996" spans="4:4" x14ac:dyDescent="0.2">
      <c r="D996" s="1"/>
    </row>
    <row r="997" spans="4:4" x14ac:dyDescent="0.2">
      <c r="D997" s="1"/>
    </row>
    <row r="998" spans="4:4" x14ac:dyDescent="0.2">
      <c r="D998" s="1"/>
    </row>
    <row r="999" spans="4:4" x14ac:dyDescent="0.2">
      <c r="D999" s="1"/>
    </row>
    <row r="1000" spans="4:4" x14ac:dyDescent="0.2">
      <c r="D1000" s="1"/>
    </row>
    <row r="1001" spans="4:4" x14ac:dyDescent="0.2">
      <c r="D1001" s="1"/>
    </row>
    <row r="1002" spans="4:4" x14ac:dyDescent="0.2">
      <c r="D1002" s="1"/>
    </row>
    <row r="1003" spans="4:4" x14ac:dyDescent="0.2">
      <c r="D1003" s="1"/>
    </row>
    <row r="1004" spans="4:4" x14ac:dyDescent="0.2">
      <c r="D1004" s="1"/>
    </row>
    <row r="1005" spans="4:4" x14ac:dyDescent="0.2">
      <c r="D1005" s="1"/>
    </row>
    <row r="1006" spans="4:4" x14ac:dyDescent="0.2">
      <c r="D1006" s="1"/>
    </row>
    <row r="1007" spans="4:4" x14ac:dyDescent="0.2">
      <c r="D1007" s="1"/>
    </row>
    <row r="1008" spans="4:4" x14ac:dyDescent="0.2">
      <c r="D1008" s="1"/>
    </row>
    <row r="1009" spans="4:4" x14ac:dyDescent="0.2">
      <c r="D1009" s="1"/>
    </row>
    <row r="1010" spans="4:4" x14ac:dyDescent="0.2">
      <c r="D1010" s="1"/>
    </row>
    <row r="1011" spans="4:4" x14ac:dyDescent="0.2">
      <c r="D1011" s="1"/>
    </row>
    <row r="1012" spans="4:4" x14ac:dyDescent="0.2">
      <c r="D1012" s="1"/>
    </row>
    <row r="1013" spans="4:4" x14ac:dyDescent="0.2">
      <c r="D1013" s="1"/>
    </row>
    <row r="1014" spans="4:4" x14ac:dyDescent="0.2">
      <c r="D1014" s="1"/>
    </row>
    <row r="1015" spans="4:4" x14ac:dyDescent="0.2">
      <c r="D1015" s="1"/>
    </row>
    <row r="1016" spans="4:4" x14ac:dyDescent="0.2">
      <c r="D1016" s="1"/>
    </row>
    <row r="1017" spans="4:4" x14ac:dyDescent="0.2">
      <c r="D1017" s="1"/>
    </row>
    <row r="1018" spans="4:4" x14ac:dyDescent="0.2">
      <c r="D1018" s="1"/>
    </row>
    <row r="1019" spans="4:4" x14ac:dyDescent="0.2">
      <c r="D1019" s="1"/>
    </row>
    <row r="1020" spans="4:4" x14ac:dyDescent="0.2">
      <c r="D1020" s="1"/>
    </row>
    <row r="1021" spans="4:4" x14ac:dyDescent="0.2">
      <c r="D1021" s="1"/>
    </row>
    <row r="1022" spans="4:4" x14ac:dyDescent="0.2">
      <c r="D1022" s="1"/>
    </row>
    <row r="1023" spans="4:4" x14ac:dyDescent="0.2">
      <c r="D1023" s="1"/>
    </row>
    <row r="1024" spans="4:4" x14ac:dyDescent="0.2">
      <c r="D1024" s="1"/>
    </row>
    <row r="1025" spans="4:4" x14ac:dyDescent="0.2">
      <c r="D1025" s="1"/>
    </row>
    <row r="1026" spans="4:4" x14ac:dyDescent="0.2">
      <c r="D1026" s="1"/>
    </row>
    <row r="1027" spans="4:4" x14ac:dyDescent="0.2">
      <c r="D1027" s="1"/>
    </row>
    <row r="1028" spans="4:4" x14ac:dyDescent="0.2">
      <c r="D1028" s="1"/>
    </row>
    <row r="1029" spans="4:4" x14ac:dyDescent="0.2">
      <c r="D1029" s="1"/>
    </row>
    <row r="1030" spans="4:4" x14ac:dyDescent="0.2">
      <c r="D1030" s="1"/>
    </row>
    <row r="1031" spans="4:4" x14ac:dyDescent="0.2">
      <c r="D1031" s="1"/>
    </row>
    <row r="1032" spans="4:4" x14ac:dyDescent="0.2">
      <c r="D1032" s="1"/>
    </row>
    <row r="1033" spans="4:4" x14ac:dyDescent="0.2">
      <c r="D1033" s="1"/>
    </row>
    <row r="1034" spans="4:4" x14ac:dyDescent="0.2">
      <c r="D1034" s="1"/>
    </row>
    <row r="1035" spans="4:4" x14ac:dyDescent="0.2">
      <c r="D1035" s="1"/>
    </row>
    <row r="1036" spans="4:4" x14ac:dyDescent="0.2">
      <c r="D1036" s="1"/>
    </row>
    <row r="1037" spans="4:4" x14ac:dyDescent="0.2">
      <c r="D1037" s="1"/>
    </row>
    <row r="1038" spans="4:4" x14ac:dyDescent="0.2">
      <c r="D1038" s="1"/>
    </row>
    <row r="1039" spans="4:4" x14ac:dyDescent="0.2">
      <c r="D1039" s="1"/>
    </row>
    <row r="1040" spans="4:4" x14ac:dyDescent="0.2">
      <c r="D1040" s="1"/>
    </row>
    <row r="1041" spans="4:4" x14ac:dyDescent="0.2">
      <c r="D1041" s="1"/>
    </row>
    <row r="1042" spans="4:4" x14ac:dyDescent="0.2">
      <c r="D1042" s="1"/>
    </row>
    <row r="1043" spans="4:4" x14ac:dyDescent="0.2">
      <c r="D1043" s="1"/>
    </row>
    <row r="1044" spans="4:4" x14ac:dyDescent="0.2">
      <c r="D1044" s="1"/>
    </row>
    <row r="1045" spans="4:4" x14ac:dyDescent="0.2">
      <c r="D1045" s="1"/>
    </row>
    <row r="1046" spans="4:4" x14ac:dyDescent="0.2">
      <c r="D1046" s="1"/>
    </row>
    <row r="1047" spans="4:4" x14ac:dyDescent="0.2">
      <c r="D1047" s="1"/>
    </row>
    <row r="1048" spans="4:4" x14ac:dyDescent="0.2">
      <c r="D1048" s="1"/>
    </row>
    <row r="1049" spans="4:4" x14ac:dyDescent="0.2">
      <c r="D1049" s="1"/>
    </row>
    <row r="1050" spans="4:4" x14ac:dyDescent="0.2">
      <c r="D1050" s="1"/>
    </row>
    <row r="1051" spans="4:4" x14ac:dyDescent="0.2">
      <c r="D1051" s="1"/>
    </row>
    <row r="1052" spans="4:4" x14ac:dyDescent="0.2">
      <c r="D1052" s="1"/>
    </row>
    <row r="1053" spans="4:4" x14ac:dyDescent="0.2">
      <c r="D1053" s="1"/>
    </row>
    <row r="1054" spans="4:4" x14ac:dyDescent="0.2">
      <c r="D1054" s="1"/>
    </row>
    <row r="1055" spans="4:4" x14ac:dyDescent="0.2">
      <c r="D1055" s="1"/>
    </row>
    <row r="1056" spans="4:4" x14ac:dyDescent="0.2">
      <c r="D1056" s="1"/>
    </row>
    <row r="1057" spans="4:4" x14ac:dyDescent="0.2">
      <c r="D1057" s="1"/>
    </row>
    <row r="1058" spans="4:4" x14ac:dyDescent="0.2">
      <c r="D1058" s="1"/>
    </row>
    <row r="1059" spans="4:4" x14ac:dyDescent="0.2">
      <c r="D1059" s="1"/>
    </row>
    <row r="1060" spans="4:4" x14ac:dyDescent="0.2">
      <c r="D1060" s="1"/>
    </row>
    <row r="1061" spans="4:4" x14ac:dyDescent="0.2">
      <c r="D1061" s="1"/>
    </row>
    <row r="1062" spans="4:4" x14ac:dyDescent="0.2">
      <c r="D1062" s="1"/>
    </row>
    <row r="1063" spans="4:4" x14ac:dyDescent="0.2">
      <c r="D1063" s="1"/>
    </row>
    <row r="1064" spans="4:4" x14ac:dyDescent="0.2">
      <c r="D1064" s="1"/>
    </row>
    <row r="1065" spans="4:4" x14ac:dyDescent="0.2">
      <c r="D1065" s="1"/>
    </row>
    <row r="1066" spans="4:4" x14ac:dyDescent="0.2">
      <c r="D1066" s="1"/>
    </row>
    <row r="1067" spans="4:4" x14ac:dyDescent="0.2">
      <c r="D1067" s="1"/>
    </row>
    <row r="1068" spans="4:4" x14ac:dyDescent="0.2">
      <c r="D1068" s="1"/>
    </row>
    <row r="1069" spans="4:4" x14ac:dyDescent="0.2">
      <c r="D1069" s="1"/>
    </row>
    <row r="1070" spans="4:4" x14ac:dyDescent="0.2">
      <c r="D1070" s="1"/>
    </row>
    <row r="1071" spans="4:4" x14ac:dyDescent="0.2">
      <c r="D1071" s="1"/>
    </row>
    <row r="1072" spans="4:4" x14ac:dyDescent="0.2">
      <c r="D1072" s="1"/>
    </row>
    <row r="1073" spans="4:4" x14ac:dyDescent="0.2">
      <c r="D1073" s="1"/>
    </row>
    <row r="1074" spans="4:4" x14ac:dyDescent="0.2">
      <c r="D1074" s="1"/>
    </row>
    <row r="1075" spans="4:4" x14ac:dyDescent="0.2">
      <c r="D1075" s="1"/>
    </row>
    <row r="1076" spans="4:4" x14ac:dyDescent="0.2">
      <c r="D1076" s="1"/>
    </row>
    <row r="1077" spans="4:4" x14ac:dyDescent="0.2">
      <c r="D1077" s="1"/>
    </row>
    <row r="1078" spans="4:4" x14ac:dyDescent="0.2">
      <c r="D1078" s="1"/>
    </row>
    <row r="1079" spans="4:4" x14ac:dyDescent="0.2">
      <c r="D1079" s="1"/>
    </row>
    <row r="1080" spans="4:4" x14ac:dyDescent="0.2">
      <c r="D1080" s="1"/>
    </row>
    <row r="1081" spans="4:4" x14ac:dyDescent="0.2">
      <c r="D1081" s="1"/>
    </row>
    <row r="1082" spans="4:4" x14ac:dyDescent="0.2">
      <c r="D1082" s="1"/>
    </row>
    <row r="1083" spans="4:4" x14ac:dyDescent="0.2">
      <c r="D1083" s="1"/>
    </row>
    <row r="1084" spans="4:4" x14ac:dyDescent="0.2">
      <c r="D1084" s="1"/>
    </row>
    <row r="1085" spans="4:4" x14ac:dyDescent="0.2">
      <c r="D1085" s="1"/>
    </row>
    <row r="1086" spans="4:4" x14ac:dyDescent="0.2">
      <c r="D1086" s="1"/>
    </row>
    <row r="1087" spans="4:4" x14ac:dyDescent="0.2">
      <c r="D1087" s="1"/>
    </row>
    <row r="1088" spans="4:4" x14ac:dyDescent="0.2">
      <c r="D1088" s="1"/>
    </row>
    <row r="1089" spans="4:4" x14ac:dyDescent="0.2">
      <c r="D1089" s="1"/>
    </row>
    <row r="1090" spans="4:4" x14ac:dyDescent="0.2">
      <c r="D1090" s="1"/>
    </row>
    <row r="1091" spans="4:4" x14ac:dyDescent="0.2">
      <c r="D1091" s="1"/>
    </row>
    <row r="1092" spans="4:4" x14ac:dyDescent="0.2">
      <c r="D1092" s="1"/>
    </row>
    <row r="1093" spans="4:4" x14ac:dyDescent="0.2">
      <c r="D1093" s="1"/>
    </row>
    <row r="1094" spans="4:4" x14ac:dyDescent="0.2">
      <c r="D1094" s="1"/>
    </row>
    <row r="1095" spans="4:4" x14ac:dyDescent="0.2">
      <c r="D1095" s="1"/>
    </row>
    <row r="1096" spans="4:4" x14ac:dyDescent="0.2">
      <c r="D1096" s="1"/>
    </row>
    <row r="1097" spans="4:4" x14ac:dyDescent="0.2">
      <c r="D1097" s="1"/>
    </row>
    <row r="1099" spans="4:4" x14ac:dyDescent="0.2">
      <c r="D1099" s="1"/>
    </row>
    <row r="1100" spans="4:4" x14ac:dyDescent="0.2">
      <c r="D1100" s="1"/>
    </row>
    <row r="1101" spans="4:4" x14ac:dyDescent="0.2">
      <c r="D1101" s="1"/>
    </row>
    <row r="1102" spans="4:4" x14ac:dyDescent="0.2">
      <c r="D1102" s="1"/>
    </row>
    <row r="1103" spans="4:4" x14ac:dyDescent="0.2">
      <c r="D1103" s="1"/>
    </row>
    <row r="1104" spans="4:4" x14ac:dyDescent="0.2">
      <c r="D1104" s="1"/>
    </row>
    <row r="1105" spans="4:4" x14ac:dyDescent="0.2">
      <c r="D1105" s="1"/>
    </row>
    <row r="1106" spans="4:4" x14ac:dyDescent="0.2">
      <c r="D1106" s="1"/>
    </row>
    <row r="1107" spans="4:4" x14ac:dyDescent="0.2">
      <c r="D1107" s="1"/>
    </row>
    <row r="1108" spans="4:4" x14ac:dyDescent="0.2">
      <c r="D1108" s="1"/>
    </row>
    <row r="1109" spans="4:4" x14ac:dyDescent="0.2">
      <c r="D1109" s="1"/>
    </row>
    <row r="1110" spans="4:4" x14ac:dyDescent="0.2">
      <c r="D1110" s="1"/>
    </row>
    <row r="1111" spans="4:4" x14ac:dyDescent="0.2">
      <c r="D1111" s="1"/>
    </row>
    <row r="1113" spans="4:4" x14ac:dyDescent="0.2">
      <c r="D1113" s="1"/>
    </row>
    <row r="1114" spans="4:4" x14ac:dyDescent="0.2">
      <c r="D1114" s="1"/>
    </row>
    <row r="1115" spans="4:4" x14ac:dyDescent="0.2">
      <c r="D1115" s="1"/>
    </row>
    <row r="1116" spans="4:4" x14ac:dyDescent="0.2">
      <c r="D1116" s="1"/>
    </row>
    <row r="1117" spans="4:4" x14ac:dyDescent="0.2">
      <c r="D1117" s="1"/>
    </row>
    <row r="1118" spans="4:4" x14ac:dyDescent="0.2">
      <c r="D1118" s="1"/>
    </row>
    <row r="1119" spans="4:4" x14ac:dyDescent="0.2">
      <c r="D1119" s="1"/>
    </row>
    <row r="1120" spans="4:4" x14ac:dyDescent="0.2">
      <c r="D1120" s="1"/>
    </row>
    <row r="1121" spans="4:4" x14ac:dyDescent="0.2">
      <c r="D1121" s="1"/>
    </row>
    <row r="1125" spans="4:4" x14ac:dyDescent="0.2">
      <c r="D1125" s="1"/>
    </row>
    <row r="1127" spans="4:4" x14ac:dyDescent="0.2">
      <c r="D1127" s="1"/>
    </row>
    <row r="1129" spans="4:4" x14ac:dyDescent="0.2">
      <c r="D1129" s="1"/>
    </row>
    <row r="1130" spans="4:4" x14ac:dyDescent="0.2">
      <c r="D1130" s="1"/>
    </row>
    <row r="1131" spans="4:4" x14ac:dyDescent="0.2">
      <c r="D1131" s="1"/>
    </row>
    <row r="1133" spans="4:4" x14ac:dyDescent="0.2">
      <c r="D1133" s="1"/>
    </row>
    <row r="1134" spans="4:4" x14ac:dyDescent="0.2">
      <c r="D1134" s="1"/>
    </row>
    <row r="1135" spans="4:4" x14ac:dyDescent="0.2">
      <c r="D1135" s="1"/>
    </row>
    <row r="1138" spans="4:4" x14ac:dyDescent="0.2">
      <c r="D1138" s="1"/>
    </row>
    <row r="1139" spans="4:4" x14ac:dyDescent="0.2">
      <c r="D1139" s="1"/>
    </row>
    <row r="1142" spans="4:4" x14ac:dyDescent="0.2">
      <c r="D1142" s="1"/>
    </row>
    <row r="1151" spans="4:4" x14ac:dyDescent="0.2">
      <c r="D1151" s="1"/>
    </row>
    <row r="1153" spans="4:4" x14ac:dyDescent="0.2">
      <c r="D1153" s="1"/>
    </row>
    <row r="1418" spans="4:4" x14ac:dyDescent="0.2">
      <c r="D1418" s="1"/>
    </row>
    <row r="1421" spans="4:4" x14ac:dyDescent="0.2">
      <c r="D1421" s="1"/>
    </row>
    <row r="1422" spans="4:4" x14ac:dyDescent="0.2">
      <c r="D1422" s="1"/>
    </row>
    <row r="1423" spans="4:4" x14ac:dyDescent="0.2">
      <c r="D1423" s="1"/>
    </row>
    <row r="1425" spans="4:4" x14ac:dyDescent="0.2">
      <c r="D1425" s="1"/>
    </row>
    <row r="1432" spans="4:4" x14ac:dyDescent="0.2">
      <c r="D1432" s="1"/>
    </row>
    <row r="1438" spans="4:4" x14ac:dyDescent="0.2">
      <c r="D1438" s="1"/>
    </row>
    <row r="1446" spans="4:4" x14ac:dyDescent="0.2">
      <c r="D1446" s="1"/>
    </row>
    <row r="1451" spans="4:4" x14ac:dyDescent="0.2">
      <c r="D1451" s="1"/>
    </row>
    <row r="1452" spans="4:4" x14ac:dyDescent="0.2">
      <c r="D1452" s="1"/>
    </row>
    <row r="1460" spans="4:4" x14ac:dyDescent="0.2">
      <c r="D1460" s="1"/>
    </row>
    <row r="1461" spans="4:4" x14ac:dyDescent="0.2">
      <c r="D1461" s="1"/>
    </row>
    <row r="1463" spans="4:4" x14ac:dyDescent="0.2">
      <c r="D1463" s="1"/>
    </row>
    <row r="1464" spans="4:4" x14ac:dyDescent="0.2">
      <c r="D1464" s="1"/>
    </row>
    <row r="1465" spans="4:4" x14ac:dyDescent="0.2">
      <c r="D1465" s="1"/>
    </row>
    <row r="1467" spans="4:4" x14ac:dyDescent="0.2">
      <c r="D1467" s="1"/>
    </row>
    <row r="1469" spans="4:4" x14ac:dyDescent="0.2">
      <c r="D1469" s="1"/>
    </row>
    <row r="1470" spans="4:4" x14ac:dyDescent="0.2">
      <c r="D1470" s="1"/>
    </row>
    <row r="1471" spans="4:4" x14ac:dyDescent="0.2">
      <c r="D1471" s="1"/>
    </row>
    <row r="1472" spans="4:4" x14ac:dyDescent="0.2">
      <c r="D1472" s="1"/>
    </row>
    <row r="1473" spans="4:4" x14ac:dyDescent="0.2">
      <c r="D1473" s="1"/>
    </row>
    <row r="1474" spans="4:4" x14ac:dyDescent="0.2">
      <c r="D1474" s="1"/>
    </row>
    <row r="1476" spans="4:4" x14ac:dyDescent="0.2">
      <c r="D1476" s="1"/>
    </row>
    <row r="1477" spans="4:4" x14ac:dyDescent="0.2">
      <c r="D1477" s="1"/>
    </row>
    <row r="1479" spans="4:4" x14ac:dyDescent="0.2">
      <c r="D1479" s="1"/>
    </row>
    <row r="1480" spans="4:4" x14ac:dyDescent="0.2">
      <c r="D1480" s="1"/>
    </row>
    <row r="1481" spans="4:4" x14ac:dyDescent="0.2">
      <c r="D1481" s="1"/>
    </row>
    <row r="1482" spans="4:4" x14ac:dyDescent="0.2">
      <c r="D1482" s="1"/>
    </row>
    <row r="1483" spans="4:4" x14ac:dyDescent="0.2">
      <c r="D1483" s="1"/>
    </row>
    <row r="1484" spans="4:4" x14ac:dyDescent="0.2">
      <c r="D1484" s="1"/>
    </row>
    <row r="1485" spans="4:4" x14ac:dyDescent="0.2">
      <c r="D1485" s="1"/>
    </row>
    <row r="1486" spans="4:4" x14ac:dyDescent="0.2">
      <c r="D1486" s="1"/>
    </row>
    <row r="1487" spans="4:4" x14ac:dyDescent="0.2">
      <c r="D1487" s="1"/>
    </row>
    <row r="1488" spans="4:4" x14ac:dyDescent="0.2">
      <c r="D1488" s="1"/>
    </row>
    <row r="1489" spans="4:4" x14ac:dyDescent="0.2">
      <c r="D1489" s="1"/>
    </row>
    <row r="1490" spans="4:4" x14ac:dyDescent="0.2">
      <c r="D1490" s="1"/>
    </row>
    <row r="1491" spans="4:4" x14ac:dyDescent="0.2">
      <c r="D1491" s="1"/>
    </row>
    <row r="1492" spans="4:4" x14ac:dyDescent="0.2">
      <c r="D1492" s="1"/>
    </row>
    <row r="1493" spans="4:4" x14ac:dyDescent="0.2">
      <c r="D1493" s="1"/>
    </row>
    <row r="1494" spans="4:4" x14ac:dyDescent="0.2">
      <c r="D1494" s="1"/>
    </row>
    <row r="1495" spans="4:4" x14ac:dyDescent="0.2">
      <c r="D1495" s="1"/>
    </row>
    <row r="1496" spans="4:4" x14ac:dyDescent="0.2">
      <c r="D1496" s="1"/>
    </row>
    <row r="1497" spans="4:4" x14ac:dyDescent="0.2">
      <c r="D1497" s="1"/>
    </row>
    <row r="1498" spans="4:4" x14ac:dyDescent="0.2">
      <c r="D1498" s="1"/>
    </row>
    <row r="1499" spans="4:4" x14ac:dyDescent="0.2">
      <c r="D1499" s="1"/>
    </row>
    <row r="1500" spans="4:4" x14ac:dyDescent="0.2">
      <c r="D1500" s="1"/>
    </row>
    <row r="1501" spans="4:4" x14ac:dyDescent="0.2">
      <c r="D1501" s="1"/>
    </row>
    <row r="1502" spans="4:4" x14ac:dyDescent="0.2">
      <c r="D1502" s="1"/>
    </row>
    <row r="1503" spans="4:4" x14ac:dyDescent="0.2">
      <c r="D1503" s="1"/>
    </row>
    <row r="1504" spans="4:4" x14ac:dyDescent="0.2">
      <c r="D1504" s="1"/>
    </row>
    <row r="1505" spans="4:4" x14ac:dyDescent="0.2">
      <c r="D1505" s="1"/>
    </row>
    <row r="1506" spans="4:4" x14ac:dyDescent="0.2">
      <c r="D1506" s="1"/>
    </row>
    <row r="1507" spans="4:4" x14ac:dyDescent="0.2">
      <c r="D1507" s="1"/>
    </row>
    <row r="1508" spans="4:4" x14ac:dyDescent="0.2">
      <c r="D1508" s="1"/>
    </row>
    <row r="1509" spans="4:4" x14ac:dyDescent="0.2">
      <c r="D1509" s="1"/>
    </row>
    <row r="1510" spans="4:4" x14ac:dyDescent="0.2">
      <c r="D1510" s="1"/>
    </row>
    <row r="1511" spans="4:4" x14ac:dyDescent="0.2">
      <c r="D1511" s="1"/>
    </row>
    <row r="1512" spans="4:4" x14ac:dyDescent="0.2">
      <c r="D1512" s="1"/>
    </row>
    <row r="1513" spans="4:4" x14ac:dyDescent="0.2">
      <c r="D1513" s="1"/>
    </row>
    <row r="1514" spans="4:4" x14ac:dyDescent="0.2">
      <c r="D1514" s="1"/>
    </row>
    <row r="1515" spans="4:4" x14ac:dyDescent="0.2">
      <c r="D1515" s="1"/>
    </row>
    <row r="1516" spans="4:4" x14ac:dyDescent="0.2">
      <c r="D1516" s="1"/>
    </row>
    <row r="1517" spans="4:4" x14ac:dyDescent="0.2">
      <c r="D1517" s="1"/>
    </row>
    <row r="1518" spans="4:4" x14ac:dyDescent="0.2">
      <c r="D1518" s="1"/>
    </row>
    <row r="1519" spans="4:4" x14ac:dyDescent="0.2">
      <c r="D1519" s="1"/>
    </row>
    <row r="1520" spans="4:4" x14ac:dyDescent="0.2">
      <c r="D1520" s="1"/>
    </row>
    <row r="1521" spans="4:4" x14ac:dyDescent="0.2">
      <c r="D1521" s="1"/>
    </row>
    <row r="1522" spans="4:4" x14ac:dyDescent="0.2">
      <c r="D1522" s="1"/>
    </row>
    <row r="1523" spans="4:4" x14ac:dyDescent="0.2">
      <c r="D1523" s="1"/>
    </row>
    <row r="1524" spans="4:4" x14ac:dyDescent="0.2">
      <c r="D1524" s="1"/>
    </row>
    <row r="1525" spans="4:4" x14ac:dyDescent="0.2">
      <c r="D1525" s="1"/>
    </row>
    <row r="1526" spans="4:4" x14ac:dyDescent="0.2">
      <c r="D1526" s="1"/>
    </row>
    <row r="1527" spans="4:4" x14ac:dyDescent="0.2">
      <c r="D1527" s="1"/>
    </row>
    <row r="1528" spans="4:4" x14ac:dyDescent="0.2">
      <c r="D1528" s="1"/>
    </row>
    <row r="1529" spans="4:4" x14ac:dyDescent="0.2">
      <c r="D1529" s="1"/>
    </row>
    <row r="1530" spans="4:4" x14ac:dyDescent="0.2">
      <c r="D1530" s="1"/>
    </row>
    <row r="1531" spans="4:4" x14ac:dyDescent="0.2">
      <c r="D1531" s="1"/>
    </row>
    <row r="1532" spans="4:4" x14ac:dyDescent="0.2">
      <c r="D1532" s="1"/>
    </row>
    <row r="1533" spans="4:4" x14ac:dyDescent="0.2">
      <c r="D1533" s="1"/>
    </row>
    <row r="1534" spans="4:4" x14ac:dyDescent="0.2">
      <c r="D1534" s="1"/>
    </row>
    <row r="1535" spans="4:4" x14ac:dyDescent="0.2">
      <c r="D1535" s="1"/>
    </row>
    <row r="1536" spans="4:4" x14ac:dyDescent="0.2">
      <c r="D1536" s="1"/>
    </row>
    <row r="1537" spans="4:4" x14ac:dyDescent="0.2">
      <c r="D1537" s="1"/>
    </row>
    <row r="1538" spans="4:4" x14ac:dyDescent="0.2">
      <c r="D1538" s="1"/>
    </row>
    <row r="1539" spans="4:4" x14ac:dyDescent="0.2">
      <c r="D1539" s="1"/>
    </row>
    <row r="1540" spans="4:4" x14ac:dyDescent="0.2">
      <c r="D1540" s="1"/>
    </row>
    <row r="1541" spans="4:4" x14ac:dyDescent="0.2">
      <c r="D1541" s="1"/>
    </row>
    <row r="1542" spans="4:4" x14ac:dyDescent="0.2">
      <c r="D1542" s="1"/>
    </row>
    <row r="1543" spans="4:4" x14ac:dyDescent="0.2">
      <c r="D1543" s="1"/>
    </row>
    <row r="1544" spans="4:4" x14ac:dyDescent="0.2">
      <c r="D1544" s="1"/>
    </row>
    <row r="1545" spans="4:4" x14ac:dyDescent="0.2">
      <c r="D1545" s="1"/>
    </row>
    <row r="1546" spans="4:4" x14ac:dyDescent="0.2">
      <c r="D1546" s="1"/>
    </row>
    <row r="1547" spans="4:4" x14ac:dyDescent="0.2">
      <c r="D1547" s="1"/>
    </row>
    <row r="1548" spans="4:4" x14ac:dyDescent="0.2">
      <c r="D1548" s="1"/>
    </row>
    <row r="1549" spans="4:4" x14ac:dyDescent="0.2">
      <c r="D1549" s="1"/>
    </row>
    <row r="1550" spans="4:4" x14ac:dyDescent="0.2">
      <c r="D1550" s="1"/>
    </row>
    <row r="1551" spans="4:4" x14ac:dyDescent="0.2">
      <c r="D1551" s="1"/>
    </row>
    <row r="1552" spans="4:4" x14ac:dyDescent="0.2">
      <c r="D1552" s="1"/>
    </row>
    <row r="1553" spans="4:4" x14ac:dyDescent="0.2">
      <c r="D1553" s="1"/>
    </row>
    <row r="1554" spans="4:4" x14ac:dyDescent="0.2">
      <c r="D1554" s="1"/>
    </row>
    <row r="1555" spans="4:4" x14ac:dyDescent="0.2">
      <c r="D1555" s="1"/>
    </row>
    <row r="1556" spans="4:4" x14ac:dyDescent="0.2">
      <c r="D1556" s="1"/>
    </row>
    <row r="1557" spans="4:4" x14ac:dyDescent="0.2">
      <c r="D1557" s="1"/>
    </row>
    <row r="1558" spans="4:4" x14ac:dyDescent="0.2">
      <c r="D1558" s="1"/>
    </row>
    <row r="1559" spans="4:4" x14ac:dyDescent="0.2">
      <c r="D1559" s="1"/>
    </row>
    <row r="1560" spans="4:4" x14ac:dyDescent="0.2">
      <c r="D1560" s="1"/>
    </row>
    <row r="1561" spans="4:4" x14ac:dyDescent="0.2">
      <c r="D1561" s="1"/>
    </row>
    <row r="1562" spans="4:4" x14ac:dyDescent="0.2">
      <c r="D1562" s="1"/>
    </row>
    <row r="1563" spans="4:4" x14ac:dyDescent="0.2">
      <c r="D1563" s="1"/>
    </row>
    <row r="1564" spans="4:4" x14ac:dyDescent="0.2">
      <c r="D1564" s="1"/>
    </row>
    <row r="1565" spans="4:4" x14ac:dyDescent="0.2">
      <c r="D1565" s="1"/>
    </row>
    <row r="1566" spans="4:4" x14ac:dyDescent="0.2">
      <c r="D1566" s="1"/>
    </row>
    <row r="1567" spans="4:4" x14ac:dyDescent="0.2">
      <c r="D1567" s="1"/>
    </row>
    <row r="1568" spans="4:4" x14ac:dyDescent="0.2">
      <c r="D1568" s="1"/>
    </row>
    <row r="1569" spans="4:4" x14ac:dyDescent="0.2">
      <c r="D1569" s="1"/>
    </row>
    <row r="1570" spans="4:4" x14ac:dyDescent="0.2">
      <c r="D1570" s="1"/>
    </row>
    <row r="1571" spans="4:4" x14ac:dyDescent="0.2">
      <c r="D1571" s="1"/>
    </row>
    <row r="1572" spans="4:4" x14ac:dyDescent="0.2">
      <c r="D1572" s="1"/>
    </row>
    <row r="1573" spans="4:4" x14ac:dyDescent="0.2">
      <c r="D1573" s="1"/>
    </row>
    <row r="1574" spans="4:4" x14ac:dyDescent="0.2">
      <c r="D1574" s="1"/>
    </row>
    <row r="1575" spans="4:4" x14ac:dyDescent="0.2">
      <c r="D1575" s="1"/>
    </row>
    <row r="1576" spans="4:4" x14ac:dyDescent="0.2">
      <c r="D1576" s="1"/>
    </row>
    <row r="1577" spans="4:4" x14ac:dyDescent="0.2">
      <c r="D1577" s="1"/>
    </row>
    <row r="1578" spans="4:4" x14ac:dyDescent="0.2">
      <c r="D1578" s="1"/>
    </row>
    <row r="1579" spans="4:4" x14ac:dyDescent="0.2">
      <c r="D1579" s="1"/>
    </row>
    <row r="1580" spans="4:4" x14ac:dyDescent="0.2">
      <c r="D1580" s="1"/>
    </row>
    <row r="1581" spans="4:4" x14ac:dyDescent="0.2">
      <c r="D1581" s="1"/>
    </row>
    <row r="1582" spans="4:4" x14ac:dyDescent="0.2">
      <c r="D1582" s="1"/>
    </row>
    <row r="1583" spans="4:4" x14ac:dyDescent="0.2">
      <c r="D1583" s="1"/>
    </row>
    <row r="1584" spans="4:4" x14ac:dyDescent="0.2">
      <c r="D1584" s="1"/>
    </row>
    <row r="1585" spans="4:4" x14ac:dyDescent="0.2">
      <c r="D1585" s="1"/>
    </row>
    <row r="1586" spans="4:4" x14ac:dyDescent="0.2">
      <c r="D1586" s="1"/>
    </row>
    <row r="1587" spans="4:4" x14ac:dyDescent="0.2">
      <c r="D1587" s="1"/>
    </row>
    <row r="1588" spans="4:4" x14ac:dyDescent="0.2">
      <c r="D1588" s="1"/>
    </row>
    <row r="1589" spans="4:4" x14ac:dyDescent="0.2">
      <c r="D1589" s="1"/>
    </row>
    <row r="1590" spans="4:4" x14ac:dyDescent="0.2">
      <c r="D1590" s="1"/>
    </row>
    <row r="1591" spans="4:4" x14ac:dyDescent="0.2">
      <c r="D1591" s="1"/>
    </row>
    <row r="1592" spans="4:4" x14ac:dyDescent="0.2">
      <c r="D1592" s="1"/>
    </row>
    <row r="1593" spans="4:4" x14ac:dyDescent="0.2">
      <c r="D1593" s="1"/>
    </row>
    <row r="1594" spans="4:4" x14ac:dyDescent="0.2">
      <c r="D1594" s="1"/>
    </row>
    <row r="1595" spans="4:4" x14ac:dyDescent="0.2">
      <c r="D1595" s="1"/>
    </row>
    <row r="1596" spans="4:4" x14ac:dyDescent="0.2">
      <c r="D1596" s="1"/>
    </row>
    <row r="1597" spans="4:4" x14ac:dyDescent="0.2">
      <c r="D1597" s="1"/>
    </row>
    <row r="1598" spans="4:4" x14ac:dyDescent="0.2">
      <c r="D1598" s="1"/>
    </row>
    <row r="1599" spans="4:4" x14ac:dyDescent="0.2">
      <c r="D1599" s="1"/>
    </row>
    <row r="1600" spans="4:4" x14ac:dyDescent="0.2">
      <c r="D1600" s="1"/>
    </row>
    <row r="1601" spans="4:4" x14ac:dyDescent="0.2">
      <c r="D1601" s="1"/>
    </row>
    <row r="1602" spans="4:4" x14ac:dyDescent="0.2">
      <c r="D1602" s="1"/>
    </row>
    <row r="1603" spans="4:4" x14ac:dyDescent="0.2">
      <c r="D1603" s="1"/>
    </row>
    <row r="1604" spans="4:4" x14ac:dyDescent="0.2">
      <c r="D1604" s="1"/>
    </row>
    <row r="1605" spans="4:4" x14ac:dyDescent="0.2">
      <c r="D1605" s="1"/>
    </row>
    <row r="1606" spans="4:4" x14ac:dyDescent="0.2">
      <c r="D1606" s="1"/>
    </row>
    <row r="1610" spans="4:4" x14ac:dyDescent="0.2">
      <c r="D1610" s="1"/>
    </row>
    <row r="1611" spans="4:4" x14ac:dyDescent="0.2">
      <c r="D1611" s="1"/>
    </row>
    <row r="1612" spans="4:4" x14ac:dyDescent="0.2">
      <c r="D1612" s="1"/>
    </row>
    <row r="1613" spans="4:4" x14ac:dyDescent="0.2">
      <c r="D1613" s="1"/>
    </row>
    <row r="1614" spans="4:4" x14ac:dyDescent="0.2">
      <c r="D1614" s="1"/>
    </row>
    <row r="1615" spans="4:4" x14ac:dyDescent="0.2">
      <c r="D1615" s="1"/>
    </row>
    <row r="1616" spans="4:4" x14ac:dyDescent="0.2">
      <c r="D1616" s="1"/>
    </row>
    <row r="1617" spans="4:4" x14ac:dyDescent="0.2">
      <c r="D1617" s="1"/>
    </row>
    <row r="1618" spans="4:4" x14ac:dyDescent="0.2">
      <c r="D1618" s="1"/>
    </row>
    <row r="1619" spans="4:4" x14ac:dyDescent="0.2">
      <c r="D1619" s="1"/>
    </row>
    <row r="1620" spans="4:4" x14ac:dyDescent="0.2">
      <c r="D1620" s="1"/>
    </row>
    <row r="1621" spans="4:4" x14ac:dyDescent="0.2">
      <c r="D1621" s="1"/>
    </row>
    <row r="1622" spans="4:4" x14ac:dyDescent="0.2">
      <c r="D1622" s="1"/>
    </row>
    <row r="1623" spans="4:4" x14ac:dyDescent="0.2">
      <c r="D1623" s="1"/>
    </row>
    <row r="1624" spans="4:4" x14ac:dyDescent="0.2">
      <c r="D1624" s="1"/>
    </row>
    <row r="1625" spans="4:4" x14ac:dyDescent="0.2">
      <c r="D1625" s="1"/>
    </row>
    <row r="1626" spans="4:4" x14ac:dyDescent="0.2">
      <c r="D1626" s="1"/>
    </row>
    <row r="1627" spans="4:4" x14ac:dyDescent="0.2">
      <c r="D1627" s="1"/>
    </row>
    <row r="1628" spans="4:4" x14ac:dyDescent="0.2">
      <c r="D1628" s="1"/>
    </row>
    <row r="1629" spans="4:4" x14ac:dyDescent="0.2">
      <c r="D1629" s="1"/>
    </row>
    <row r="1630" spans="4:4" x14ac:dyDescent="0.2">
      <c r="D1630" s="1"/>
    </row>
    <row r="1631" spans="4:4" x14ac:dyDescent="0.2">
      <c r="D1631" s="1"/>
    </row>
    <row r="1632" spans="4:4" x14ac:dyDescent="0.2">
      <c r="D1632" s="1"/>
    </row>
    <row r="1633" spans="4:4" x14ac:dyDescent="0.2">
      <c r="D1633" s="1"/>
    </row>
    <row r="1634" spans="4:4" x14ac:dyDescent="0.2">
      <c r="D1634" s="1"/>
    </row>
    <row r="1635" spans="4:4" x14ac:dyDescent="0.2">
      <c r="D1635" s="1"/>
    </row>
    <row r="1636" spans="4:4" x14ac:dyDescent="0.2">
      <c r="D1636" s="1"/>
    </row>
    <row r="1637" spans="4:4" x14ac:dyDescent="0.2">
      <c r="D1637" s="1"/>
    </row>
    <row r="1638" spans="4:4" x14ac:dyDescent="0.2">
      <c r="D1638" s="1"/>
    </row>
    <row r="1639" spans="4:4" x14ac:dyDescent="0.2">
      <c r="D1639" s="1"/>
    </row>
    <row r="1640" spans="4:4" x14ac:dyDescent="0.2">
      <c r="D1640" s="1"/>
    </row>
    <row r="1641" spans="4:4" x14ac:dyDescent="0.2">
      <c r="D1641" s="1"/>
    </row>
    <row r="1642" spans="4:4" x14ac:dyDescent="0.2">
      <c r="D1642" s="1"/>
    </row>
    <row r="1643" spans="4:4" x14ac:dyDescent="0.2">
      <c r="D1643" s="1"/>
    </row>
    <row r="1644" spans="4:4" x14ac:dyDescent="0.2">
      <c r="D1644" s="1"/>
    </row>
    <row r="1645" spans="4:4" x14ac:dyDescent="0.2">
      <c r="D1645" s="1"/>
    </row>
    <row r="1646" spans="4:4" x14ac:dyDescent="0.2">
      <c r="D1646" s="1"/>
    </row>
    <row r="1647" spans="4:4" x14ac:dyDescent="0.2">
      <c r="D1647" s="1"/>
    </row>
    <row r="1648" spans="4:4" x14ac:dyDescent="0.2">
      <c r="D1648" s="1"/>
    </row>
    <row r="1649" spans="4:4" x14ac:dyDescent="0.2">
      <c r="D1649" s="1"/>
    </row>
    <row r="1650" spans="4:4" x14ac:dyDescent="0.2">
      <c r="D1650" s="1"/>
    </row>
    <row r="1651" spans="4:4" x14ac:dyDescent="0.2">
      <c r="D1651" s="1"/>
    </row>
    <row r="1652" spans="4:4" x14ac:dyDescent="0.2">
      <c r="D1652" s="1"/>
    </row>
    <row r="1653" spans="4:4" x14ac:dyDescent="0.2">
      <c r="D1653" s="1"/>
    </row>
    <row r="1654" spans="4:4" x14ac:dyDescent="0.2">
      <c r="D1654" s="1"/>
    </row>
    <row r="1655" spans="4:4" x14ac:dyDescent="0.2">
      <c r="D1655" s="1"/>
    </row>
    <row r="1656" spans="4:4" x14ac:dyDescent="0.2">
      <c r="D1656" s="1"/>
    </row>
    <row r="1657" spans="4:4" x14ac:dyDescent="0.2">
      <c r="D1657" s="1"/>
    </row>
    <row r="1658" spans="4:4" x14ac:dyDescent="0.2">
      <c r="D1658" s="1"/>
    </row>
    <row r="1659" spans="4:4" x14ac:dyDescent="0.2">
      <c r="D1659" s="1"/>
    </row>
    <row r="1660" spans="4:4" x14ac:dyDescent="0.2">
      <c r="D1660" s="1"/>
    </row>
    <row r="1661" spans="4:4" x14ac:dyDescent="0.2">
      <c r="D1661" s="1"/>
    </row>
    <row r="1662" spans="4:4" x14ac:dyDescent="0.2">
      <c r="D1662" s="1"/>
    </row>
    <row r="1663" spans="4:4" x14ac:dyDescent="0.2">
      <c r="D1663" s="1"/>
    </row>
    <row r="1664" spans="4:4" x14ac:dyDescent="0.2">
      <c r="D1664" s="1"/>
    </row>
    <row r="1665" spans="4:4" x14ac:dyDescent="0.2">
      <c r="D1665" s="1"/>
    </row>
    <row r="1666" spans="4:4" x14ac:dyDescent="0.2">
      <c r="D1666" s="1"/>
    </row>
    <row r="1667" spans="4:4" x14ac:dyDescent="0.2">
      <c r="D1667" s="1"/>
    </row>
    <row r="1668" spans="4:4" x14ac:dyDescent="0.2">
      <c r="D1668" s="1"/>
    </row>
    <row r="1669" spans="4:4" x14ac:dyDescent="0.2">
      <c r="D1669" s="1"/>
    </row>
    <row r="1670" spans="4:4" x14ac:dyDescent="0.2">
      <c r="D1670" s="1"/>
    </row>
    <row r="1671" spans="4:4" x14ac:dyDescent="0.2">
      <c r="D1671" s="1"/>
    </row>
    <row r="1672" spans="4:4" x14ac:dyDescent="0.2">
      <c r="D1672" s="1"/>
    </row>
    <row r="1673" spans="4:4" x14ac:dyDescent="0.2">
      <c r="D1673" s="1"/>
    </row>
    <row r="1674" spans="4:4" x14ac:dyDescent="0.2">
      <c r="D1674" s="1"/>
    </row>
    <row r="1675" spans="4:4" x14ac:dyDescent="0.2">
      <c r="D1675" s="1"/>
    </row>
    <row r="1676" spans="4:4" x14ac:dyDescent="0.2">
      <c r="D1676" s="1"/>
    </row>
    <row r="1677" spans="4:4" x14ac:dyDescent="0.2">
      <c r="D1677" s="1"/>
    </row>
    <row r="1678" spans="4:4" x14ac:dyDescent="0.2">
      <c r="D1678" s="1"/>
    </row>
    <row r="1679" spans="4:4" x14ac:dyDescent="0.2">
      <c r="D1679" s="1"/>
    </row>
    <row r="1680" spans="4:4" x14ac:dyDescent="0.2">
      <c r="D1680" s="1"/>
    </row>
    <row r="1681" spans="4:4" x14ac:dyDescent="0.2">
      <c r="D1681" s="1"/>
    </row>
    <row r="1682" spans="4:4" x14ac:dyDescent="0.2">
      <c r="D1682" s="1"/>
    </row>
    <row r="1683" spans="4:4" x14ac:dyDescent="0.2">
      <c r="D1683" s="1"/>
    </row>
    <row r="1684" spans="4:4" x14ac:dyDescent="0.2">
      <c r="D1684" s="1"/>
    </row>
    <row r="1685" spans="4:4" x14ac:dyDescent="0.2">
      <c r="D1685" s="1"/>
    </row>
    <row r="1686" spans="4:4" x14ac:dyDescent="0.2">
      <c r="D1686" s="1"/>
    </row>
    <row r="1687" spans="4:4" x14ac:dyDescent="0.2">
      <c r="D1687" s="1"/>
    </row>
    <row r="1688" spans="4:4" x14ac:dyDescent="0.2">
      <c r="D1688" s="1"/>
    </row>
    <row r="1689" spans="4:4" x14ac:dyDescent="0.2">
      <c r="D1689" s="1"/>
    </row>
    <row r="1690" spans="4:4" x14ac:dyDescent="0.2">
      <c r="D1690" s="1"/>
    </row>
    <row r="1691" spans="4:4" x14ac:dyDescent="0.2">
      <c r="D1691" s="1"/>
    </row>
    <row r="1692" spans="4:4" x14ac:dyDescent="0.2">
      <c r="D1692" s="1"/>
    </row>
    <row r="1693" spans="4:4" x14ac:dyDescent="0.2">
      <c r="D1693" s="1"/>
    </row>
    <row r="1694" spans="4:4" x14ac:dyDescent="0.2">
      <c r="D1694" s="1"/>
    </row>
    <row r="1695" spans="4:4" x14ac:dyDescent="0.2">
      <c r="D1695" s="1"/>
    </row>
    <row r="1696" spans="4:4" x14ac:dyDescent="0.2">
      <c r="D1696" s="1"/>
    </row>
    <row r="1697" spans="4:4" x14ac:dyDescent="0.2">
      <c r="D1697" s="1"/>
    </row>
    <row r="1698" spans="4:4" x14ac:dyDescent="0.2">
      <c r="D1698" s="1"/>
    </row>
    <row r="1699" spans="4:4" x14ac:dyDescent="0.2">
      <c r="D1699" s="1"/>
    </row>
    <row r="1700" spans="4:4" x14ac:dyDescent="0.2">
      <c r="D1700" s="1"/>
    </row>
    <row r="1701" spans="4:4" x14ac:dyDescent="0.2">
      <c r="D1701" s="1"/>
    </row>
    <row r="1702" spans="4:4" x14ac:dyDescent="0.2">
      <c r="D1702" s="1"/>
    </row>
    <row r="1703" spans="4:4" x14ac:dyDescent="0.2">
      <c r="D1703" s="1"/>
    </row>
    <row r="1704" spans="4:4" x14ac:dyDescent="0.2">
      <c r="D1704" s="1"/>
    </row>
    <row r="1705" spans="4:4" x14ac:dyDescent="0.2">
      <c r="D1705" s="1"/>
    </row>
    <row r="1706" spans="4:4" x14ac:dyDescent="0.2">
      <c r="D1706" s="1"/>
    </row>
    <row r="1707" spans="4:4" x14ac:dyDescent="0.2">
      <c r="D1707" s="1"/>
    </row>
    <row r="1708" spans="4:4" x14ac:dyDescent="0.2">
      <c r="D1708" s="1"/>
    </row>
    <row r="1709" spans="4:4" x14ac:dyDescent="0.2">
      <c r="D1709" s="1"/>
    </row>
    <row r="1710" spans="4:4" x14ac:dyDescent="0.2">
      <c r="D1710" s="1"/>
    </row>
    <row r="1711" spans="4:4" x14ac:dyDescent="0.2">
      <c r="D1711" s="1"/>
    </row>
    <row r="1712" spans="4:4" x14ac:dyDescent="0.2">
      <c r="D1712" s="1"/>
    </row>
    <row r="1713" spans="4:4" x14ac:dyDescent="0.2">
      <c r="D1713" s="1"/>
    </row>
    <row r="1714" spans="4:4" x14ac:dyDescent="0.2">
      <c r="D1714" s="1"/>
    </row>
    <row r="1715" spans="4:4" x14ac:dyDescent="0.2">
      <c r="D1715" s="1"/>
    </row>
    <row r="1716" spans="4:4" x14ac:dyDescent="0.2">
      <c r="D1716" s="1"/>
    </row>
    <row r="1717" spans="4:4" x14ac:dyDescent="0.2">
      <c r="D1717" s="1"/>
    </row>
    <row r="1718" spans="4:4" x14ac:dyDescent="0.2">
      <c r="D1718" s="1"/>
    </row>
    <row r="1719" spans="4:4" x14ac:dyDescent="0.2">
      <c r="D1719" s="1"/>
    </row>
    <row r="1720" spans="4:4" x14ac:dyDescent="0.2">
      <c r="D1720" s="1"/>
    </row>
    <row r="1721" spans="4:4" x14ac:dyDescent="0.2">
      <c r="D1721" s="1"/>
    </row>
    <row r="1722" spans="4:4" x14ac:dyDescent="0.2">
      <c r="D1722" s="1"/>
    </row>
    <row r="1723" spans="4:4" x14ac:dyDescent="0.2">
      <c r="D1723" s="1"/>
    </row>
    <row r="1724" spans="4:4" x14ac:dyDescent="0.2">
      <c r="D1724" s="1"/>
    </row>
    <row r="1725" spans="4:4" x14ac:dyDescent="0.2">
      <c r="D1725" s="1"/>
    </row>
    <row r="1726" spans="4:4" x14ac:dyDescent="0.2">
      <c r="D1726" s="1"/>
    </row>
    <row r="1727" spans="4:4" x14ac:dyDescent="0.2">
      <c r="D1727" s="1"/>
    </row>
    <row r="1728" spans="4:4" x14ac:dyDescent="0.2">
      <c r="D1728" s="1"/>
    </row>
    <row r="1729" spans="4:4" x14ac:dyDescent="0.2">
      <c r="D1729" s="1"/>
    </row>
    <row r="1730" spans="4:4" x14ac:dyDescent="0.2">
      <c r="D1730" s="1"/>
    </row>
    <row r="1731" spans="4:4" x14ac:dyDescent="0.2">
      <c r="D1731" s="1"/>
    </row>
    <row r="1732" spans="4:4" x14ac:dyDescent="0.2">
      <c r="D1732" s="1"/>
    </row>
    <row r="1733" spans="4:4" x14ac:dyDescent="0.2">
      <c r="D1733" s="1"/>
    </row>
    <row r="1734" spans="4:4" x14ac:dyDescent="0.2">
      <c r="D1734" s="1"/>
    </row>
    <row r="1735" spans="4:4" x14ac:dyDescent="0.2">
      <c r="D1735" s="1"/>
    </row>
    <row r="1737" spans="4:4" x14ac:dyDescent="0.2">
      <c r="D1737" s="1"/>
    </row>
    <row r="1738" spans="4:4" x14ac:dyDescent="0.2">
      <c r="D1738" s="1"/>
    </row>
    <row r="1739" spans="4:4" x14ac:dyDescent="0.2">
      <c r="D1739" s="1"/>
    </row>
    <row r="1740" spans="4:4" x14ac:dyDescent="0.2">
      <c r="D1740" s="1"/>
    </row>
    <row r="1741" spans="4:4" x14ac:dyDescent="0.2">
      <c r="D1741" s="1"/>
    </row>
    <row r="1742" spans="4:4" x14ac:dyDescent="0.2">
      <c r="D1742" s="1"/>
    </row>
    <row r="1743" spans="4:4" x14ac:dyDescent="0.2">
      <c r="D1743" s="1"/>
    </row>
    <row r="1744" spans="4:4" x14ac:dyDescent="0.2">
      <c r="D1744" s="1"/>
    </row>
    <row r="1745" spans="4:4" x14ac:dyDescent="0.2">
      <c r="D1745" s="1"/>
    </row>
    <row r="1746" spans="4:4" x14ac:dyDescent="0.2">
      <c r="D1746" s="1"/>
    </row>
    <row r="1747" spans="4:4" x14ac:dyDescent="0.2">
      <c r="D1747" s="1"/>
    </row>
    <row r="1748" spans="4:4" x14ac:dyDescent="0.2">
      <c r="D1748" s="1"/>
    </row>
    <row r="1749" spans="4:4" x14ac:dyDescent="0.2">
      <c r="D1749" s="1"/>
    </row>
    <row r="1750" spans="4:4" x14ac:dyDescent="0.2">
      <c r="D1750" s="1"/>
    </row>
    <row r="1752" spans="4:4" x14ac:dyDescent="0.2">
      <c r="D1752" s="1"/>
    </row>
    <row r="1753" spans="4:4" x14ac:dyDescent="0.2">
      <c r="D1753" s="1"/>
    </row>
    <row r="1754" spans="4:4" x14ac:dyDescent="0.2">
      <c r="D1754" s="1"/>
    </row>
    <row r="1755" spans="4:4" x14ac:dyDescent="0.2">
      <c r="D1755" s="1"/>
    </row>
    <row r="1756" spans="4:4" x14ac:dyDescent="0.2">
      <c r="D1756" s="1"/>
    </row>
    <row r="1757" spans="4:4" x14ac:dyDescent="0.2">
      <c r="D1757" s="1"/>
    </row>
    <row r="1758" spans="4:4" x14ac:dyDescent="0.2">
      <c r="D1758" s="1"/>
    </row>
    <row r="1759" spans="4:4" x14ac:dyDescent="0.2">
      <c r="D1759" s="1"/>
    </row>
    <row r="1760" spans="4:4" x14ac:dyDescent="0.2">
      <c r="D1760" s="1"/>
    </row>
    <row r="1761" spans="4:4" x14ac:dyDescent="0.2">
      <c r="D1761" s="1"/>
    </row>
    <row r="1762" spans="4:4" x14ac:dyDescent="0.2">
      <c r="D1762" s="1"/>
    </row>
    <row r="1764" spans="4:4" x14ac:dyDescent="0.2">
      <c r="D1764" s="1"/>
    </row>
    <row r="1765" spans="4:4" x14ac:dyDescent="0.2">
      <c r="D1765" s="1"/>
    </row>
    <row r="1766" spans="4:4" x14ac:dyDescent="0.2">
      <c r="D1766" s="1"/>
    </row>
    <row r="1767" spans="4:4" x14ac:dyDescent="0.2">
      <c r="D1767" s="1"/>
    </row>
    <row r="1768" spans="4:4" x14ac:dyDescent="0.2">
      <c r="D1768" s="1"/>
    </row>
    <row r="1769" spans="4:4" x14ac:dyDescent="0.2">
      <c r="D1769" s="1"/>
    </row>
    <row r="1771" spans="4:4" x14ac:dyDescent="0.2">
      <c r="D1771" s="1"/>
    </row>
    <row r="1772" spans="4:4" x14ac:dyDescent="0.2">
      <c r="D1772" s="1"/>
    </row>
    <row r="1773" spans="4:4" x14ac:dyDescent="0.2">
      <c r="D1773" s="1"/>
    </row>
    <row r="1774" spans="4:4" x14ac:dyDescent="0.2">
      <c r="D1774" s="1"/>
    </row>
    <row r="1775" spans="4:4" x14ac:dyDescent="0.2">
      <c r="D1775" s="1"/>
    </row>
    <row r="1776" spans="4:4" x14ac:dyDescent="0.2">
      <c r="D1776" s="1"/>
    </row>
    <row r="1778" spans="4:4" x14ac:dyDescent="0.2">
      <c r="D1778" s="1"/>
    </row>
    <row r="1779" spans="4:4" x14ac:dyDescent="0.2">
      <c r="D1779" s="1"/>
    </row>
    <row r="1781" spans="4:4" x14ac:dyDescent="0.2">
      <c r="D1781" s="1"/>
    </row>
    <row r="1784" spans="4:4" x14ac:dyDescent="0.2">
      <c r="D1784" s="1"/>
    </row>
    <row r="1785" spans="4:4" x14ac:dyDescent="0.2">
      <c r="D1785" s="1"/>
    </row>
    <row r="1786" spans="4:4" x14ac:dyDescent="0.2">
      <c r="D1786" s="1"/>
    </row>
    <row r="1787" spans="4:4" x14ac:dyDescent="0.2">
      <c r="D1787" s="1"/>
    </row>
    <row r="1788" spans="4:4" x14ac:dyDescent="0.2">
      <c r="D1788" s="1"/>
    </row>
    <row r="1789" spans="4:4" x14ac:dyDescent="0.2">
      <c r="D1789" s="1"/>
    </row>
    <row r="1790" spans="4:4" x14ac:dyDescent="0.2">
      <c r="D1790" s="1"/>
    </row>
    <row r="1793" spans="4:4" x14ac:dyDescent="0.2">
      <c r="D1793" s="1"/>
    </row>
    <row r="1794" spans="4:4" x14ac:dyDescent="0.2">
      <c r="D1794" s="1"/>
    </row>
    <row r="1795" spans="4:4" x14ac:dyDescent="0.2">
      <c r="D1795" s="1"/>
    </row>
    <row r="1796" spans="4:4" x14ac:dyDescent="0.2">
      <c r="D1796" s="1"/>
    </row>
    <row r="1798" spans="4:4" x14ac:dyDescent="0.2">
      <c r="D1798" s="1"/>
    </row>
    <row r="1799" spans="4:4" x14ac:dyDescent="0.2">
      <c r="D1799" s="1"/>
    </row>
    <row r="1800" spans="4:4" x14ac:dyDescent="0.2">
      <c r="D1800" s="1"/>
    </row>
    <row r="1801" spans="4:4" x14ac:dyDescent="0.2">
      <c r="D1801" s="1"/>
    </row>
    <row r="1802" spans="4:4" x14ac:dyDescent="0.2">
      <c r="D1802" s="1"/>
    </row>
    <row r="1803" spans="4:4" x14ac:dyDescent="0.2">
      <c r="D1803" s="1"/>
    </row>
    <row r="1804" spans="4:4" x14ac:dyDescent="0.2">
      <c r="D1804" s="1"/>
    </row>
    <row r="1805" spans="4:4" x14ac:dyDescent="0.2">
      <c r="D1805" s="1"/>
    </row>
    <row r="1806" spans="4:4" x14ac:dyDescent="0.2">
      <c r="D1806" s="1"/>
    </row>
    <row r="1807" spans="4:4" x14ac:dyDescent="0.2">
      <c r="D1807" s="1"/>
    </row>
    <row r="1827" spans="4:4" x14ac:dyDescent="0.2">
      <c r="D1827" s="1"/>
    </row>
    <row r="2030" spans="4:4" x14ac:dyDescent="0.2">
      <c r="D2030" s="1"/>
    </row>
    <row r="2033" spans="4:4" x14ac:dyDescent="0.2">
      <c r="D2033" s="1"/>
    </row>
    <row r="2034" spans="4:4" x14ac:dyDescent="0.2">
      <c r="D2034" s="1"/>
    </row>
    <row r="2037" spans="4:4" x14ac:dyDescent="0.2">
      <c r="D2037" s="1"/>
    </row>
    <row r="2041" spans="4:4" x14ac:dyDescent="0.2">
      <c r="D2041" s="1"/>
    </row>
    <row r="2045" spans="4:4" x14ac:dyDescent="0.2">
      <c r="D2045" s="1"/>
    </row>
    <row r="2049" spans="4:4" x14ac:dyDescent="0.2">
      <c r="D2049" s="1"/>
    </row>
    <row r="2051" spans="4:4" x14ac:dyDescent="0.2">
      <c r="D2051" s="1"/>
    </row>
    <row r="2055" spans="4:4" x14ac:dyDescent="0.2">
      <c r="D2055" s="1"/>
    </row>
    <row r="2056" spans="4:4" x14ac:dyDescent="0.2">
      <c r="D2056" s="1"/>
    </row>
    <row r="2057" spans="4:4" x14ac:dyDescent="0.2">
      <c r="D2057" s="1"/>
    </row>
    <row r="2059" spans="4:4" x14ac:dyDescent="0.2">
      <c r="D2059" s="1"/>
    </row>
    <row r="2060" spans="4:4" x14ac:dyDescent="0.2">
      <c r="D2060" s="1"/>
    </row>
    <row r="2061" spans="4:4" x14ac:dyDescent="0.2">
      <c r="D2061" s="1"/>
    </row>
    <row r="2062" spans="4:4" x14ac:dyDescent="0.2">
      <c r="D2062" s="1"/>
    </row>
    <row r="2063" spans="4:4" x14ac:dyDescent="0.2">
      <c r="D2063" s="1"/>
    </row>
    <row r="2066" spans="4:4" x14ac:dyDescent="0.2">
      <c r="D2066" s="1"/>
    </row>
    <row r="2067" spans="4:4" x14ac:dyDescent="0.2">
      <c r="D2067" s="1"/>
    </row>
    <row r="2068" spans="4:4" x14ac:dyDescent="0.2">
      <c r="D2068" s="1"/>
    </row>
    <row r="2069" spans="4:4" x14ac:dyDescent="0.2">
      <c r="D2069" s="1"/>
    </row>
    <row r="2070" spans="4:4" x14ac:dyDescent="0.2">
      <c r="D2070" s="1"/>
    </row>
    <row r="2071" spans="4:4" x14ac:dyDescent="0.2">
      <c r="D2071" s="1"/>
    </row>
    <row r="2072" spans="4:4" x14ac:dyDescent="0.2">
      <c r="D2072" s="1"/>
    </row>
    <row r="2073" spans="4:4" x14ac:dyDescent="0.2">
      <c r="D2073" s="1"/>
    </row>
    <row r="2074" spans="4:4" x14ac:dyDescent="0.2">
      <c r="D2074" s="1"/>
    </row>
    <row r="2075" spans="4:4" x14ac:dyDescent="0.2">
      <c r="D2075" s="1"/>
    </row>
    <row r="2076" spans="4:4" x14ac:dyDescent="0.2">
      <c r="D2076" s="1"/>
    </row>
    <row r="2077" spans="4:4" x14ac:dyDescent="0.2">
      <c r="D2077" s="1"/>
    </row>
    <row r="2078" spans="4:4" x14ac:dyDescent="0.2">
      <c r="D2078" s="1"/>
    </row>
    <row r="2079" spans="4:4" x14ac:dyDescent="0.2">
      <c r="D2079" s="1"/>
    </row>
    <row r="2080" spans="4:4" x14ac:dyDescent="0.2">
      <c r="D2080" s="1"/>
    </row>
    <row r="2081" spans="4:4" x14ac:dyDescent="0.2">
      <c r="D2081" s="1"/>
    </row>
    <row r="2082" spans="4:4" x14ac:dyDescent="0.2">
      <c r="D2082" s="1"/>
    </row>
    <row r="2083" spans="4:4" x14ac:dyDescent="0.2">
      <c r="D2083" s="1"/>
    </row>
    <row r="2085" spans="4:4" x14ac:dyDescent="0.2">
      <c r="D2085" s="1"/>
    </row>
    <row r="2086" spans="4:4" x14ac:dyDescent="0.2">
      <c r="D2086" s="1"/>
    </row>
    <row r="2087" spans="4:4" x14ac:dyDescent="0.2">
      <c r="D2087" s="1"/>
    </row>
    <row r="2088" spans="4:4" x14ac:dyDescent="0.2">
      <c r="D2088" s="1"/>
    </row>
    <row r="2089" spans="4:4" x14ac:dyDescent="0.2">
      <c r="D2089" s="1"/>
    </row>
    <row r="2090" spans="4:4" x14ac:dyDescent="0.2">
      <c r="D2090" s="1"/>
    </row>
    <row r="2091" spans="4:4" x14ac:dyDescent="0.2">
      <c r="D2091" s="1"/>
    </row>
    <row r="2092" spans="4:4" x14ac:dyDescent="0.2">
      <c r="D2092" s="1"/>
    </row>
    <row r="2093" spans="4:4" x14ac:dyDescent="0.2">
      <c r="D2093" s="1"/>
    </row>
    <row r="2094" spans="4:4" x14ac:dyDescent="0.2">
      <c r="D2094" s="1"/>
    </row>
    <row r="2095" spans="4:4" x14ac:dyDescent="0.2">
      <c r="D2095" s="1"/>
    </row>
    <row r="2096" spans="4:4" x14ac:dyDescent="0.2">
      <c r="D2096" s="1"/>
    </row>
    <row r="2098" spans="4:4" x14ac:dyDescent="0.2">
      <c r="D2098" s="1"/>
    </row>
    <row r="2099" spans="4:4" x14ac:dyDescent="0.2">
      <c r="D2099" s="1"/>
    </row>
    <row r="2100" spans="4:4" x14ac:dyDescent="0.2">
      <c r="D2100" s="1"/>
    </row>
    <row r="2101" spans="4:4" x14ac:dyDescent="0.2">
      <c r="D2101" s="1"/>
    </row>
    <row r="2103" spans="4:4" x14ac:dyDescent="0.2">
      <c r="D2103" s="1"/>
    </row>
    <row r="2104" spans="4:4" x14ac:dyDescent="0.2">
      <c r="D2104" s="1"/>
    </row>
    <row r="2106" spans="4:4" x14ac:dyDescent="0.2">
      <c r="D2106" s="1"/>
    </row>
    <row r="2107" spans="4:4" x14ac:dyDescent="0.2">
      <c r="D2107" s="1"/>
    </row>
    <row r="2108" spans="4:4" x14ac:dyDescent="0.2">
      <c r="D2108" s="1"/>
    </row>
    <row r="2109" spans="4:4" x14ac:dyDescent="0.2">
      <c r="D2109" s="1"/>
    </row>
    <row r="2110" spans="4:4" x14ac:dyDescent="0.2">
      <c r="D2110" s="1"/>
    </row>
    <row r="2113" spans="4:4" x14ac:dyDescent="0.2">
      <c r="D2113" s="1"/>
    </row>
    <row r="2114" spans="4:4" x14ac:dyDescent="0.2">
      <c r="D2114" s="1"/>
    </row>
    <row r="2115" spans="4:4" x14ac:dyDescent="0.2">
      <c r="D2115" s="1"/>
    </row>
    <row r="2116" spans="4:4" x14ac:dyDescent="0.2">
      <c r="D2116" s="1"/>
    </row>
    <row r="2117" spans="4:4" x14ac:dyDescent="0.2">
      <c r="D2117" s="1"/>
    </row>
    <row r="2118" spans="4:4" x14ac:dyDescent="0.2">
      <c r="D2118" s="1"/>
    </row>
    <row r="2119" spans="4:4" x14ac:dyDescent="0.2">
      <c r="D2119" s="1"/>
    </row>
    <row r="2120" spans="4:4" x14ac:dyDescent="0.2">
      <c r="D2120" s="1"/>
    </row>
    <row r="2121" spans="4:4" x14ac:dyDescent="0.2">
      <c r="D2121" s="1"/>
    </row>
    <row r="2122" spans="4:4" x14ac:dyDescent="0.2">
      <c r="D2122" s="1"/>
    </row>
    <row r="2123" spans="4:4" x14ac:dyDescent="0.2">
      <c r="D2123" s="1"/>
    </row>
    <row r="2124" spans="4:4" x14ac:dyDescent="0.2">
      <c r="D2124" s="1"/>
    </row>
    <row r="2125" spans="4:4" x14ac:dyDescent="0.2">
      <c r="D2125" s="1"/>
    </row>
    <row r="2126" spans="4:4" x14ac:dyDescent="0.2">
      <c r="D2126" s="1"/>
    </row>
    <row r="2127" spans="4:4" x14ac:dyDescent="0.2">
      <c r="D2127" s="1"/>
    </row>
    <row r="2128" spans="4:4" x14ac:dyDescent="0.2">
      <c r="D2128" s="1"/>
    </row>
    <row r="2129" spans="4:4" x14ac:dyDescent="0.2">
      <c r="D2129" s="1"/>
    </row>
    <row r="2130" spans="4:4" x14ac:dyDescent="0.2">
      <c r="D2130" s="1"/>
    </row>
    <row r="2131" spans="4:4" x14ac:dyDescent="0.2">
      <c r="D2131" s="1"/>
    </row>
    <row r="2133" spans="4:4" x14ac:dyDescent="0.2">
      <c r="D2133" s="1"/>
    </row>
    <row r="2134" spans="4:4" x14ac:dyDescent="0.2">
      <c r="D2134" s="1"/>
    </row>
    <row r="2135" spans="4:4" x14ac:dyDescent="0.2">
      <c r="D2135" s="1"/>
    </row>
    <row r="2136" spans="4:4" x14ac:dyDescent="0.2">
      <c r="D2136" s="1"/>
    </row>
    <row r="2137" spans="4:4" x14ac:dyDescent="0.2">
      <c r="D2137" s="1"/>
    </row>
    <row r="2138" spans="4:4" x14ac:dyDescent="0.2">
      <c r="D2138" s="1"/>
    </row>
    <row r="2139" spans="4:4" x14ac:dyDescent="0.2">
      <c r="D2139" s="1"/>
    </row>
    <row r="2140" spans="4:4" x14ac:dyDescent="0.2">
      <c r="D2140" s="1"/>
    </row>
    <row r="2141" spans="4:4" x14ac:dyDescent="0.2">
      <c r="D2141" s="1"/>
    </row>
    <row r="2142" spans="4:4" x14ac:dyDescent="0.2">
      <c r="D2142" s="1"/>
    </row>
    <row r="2143" spans="4:4" x14ac:dyDescent="0.2">
      <c r="D2143" s="1"/>
    </row>
    <row r="2144" spans="4:4" x14ac:dyDescent="0.2">
      <c r="D2144" s="1"/>
    </row>
    <row r="2145" spans="4:4" x14ac:dyDescent="0.2">
      <c r="D2145" s="1"/>
    </row>
    <row r="2146" spans="4:4" x14ac:dyDescent="0.2">
      <c r="D2146" s="1"/>
    </row>
    <row r="2147" spans="4:4" x14ac:dyDescent="0.2">
      <c r="D2147" s="1"/>
    </row>
    <row r="2148" spans="4:4" x14ac:dyDescent="0.2">
      <c r="D2148" s="1"/>
    </row>
    <row r="2149" spans="4:4" x14ac:dyDescent="0.2">
      <c r="D2149" s="1"/>
    </row>
    <row r="2150" spans="4:4" x14ac:dyDescent="0.2">
      <c r="D2150" s="1"/>
    </row>
    <row r="2151" spans="4:4" x14ac:dyDescent="0.2">
      <c r="D2151" s="1"/>
    </row>
    <row r="2152" spans="4:4" x14ac:dyDescent="0.2">
      <c r="D2152" s="1"/>
    </row>
    <row r="2153" spans="4:4" x14ac:dyDescent="0.2">
      <c r="D2153" s="1"/>
    </row>
    <row r="2154" spans="4:4" x14ac:dyDescent="0.2">
      <c r="D2154" s="1"/>
    </row>
    <row r="2155" spans="4:4" x14ac:dyDescent="0.2">
      <c r="D2155" s="1"/>
    </row>
    <row r="2156" spans="4:4" x14ac:dyDescent="0.2">
      <c r="D2156" s="1"/>
    </row>
    <row r="2157" spans="4:4" x14ac:dyDescent="0.2">
      <c r="D2157" s="1"/>
    </row>
    <row r="2158" spans="4:4" x14ac:dyDescent="0.2">
      <c r="D2158" s="1"/>
    </row>
    <row r="2159" spans="4:4" x14ac:dyDescent="0.2">
      <c r="D2159" s="1"/>
    </row>
    <row r="2160" spans="4:4" x14ac:dyDescent="0.2">
      <c r="D2160" s="1"/>
    </row>
    <row r="2161" spans="4:4" x14ac:dyDescent="0.2">
      <c r="D2161" s="1"/>
    </row>
    <row r="2162" spans="4:4" x14ac:dyDescent="0.2">
      <c r="D2162" s="1"/>
    </row>
    <row r="2163" spans="4:4" x14ac:dyDescent="0.2">
      <c r="D2163" s="1"/>
    </row>
    <row r="2164" spans="4:4" x14ac:dyDescent="0.2">
      <c r="D2164" s="1"/>
    </row>
    <row r="2165" spans="4:4" x14ac:dyDescent="0.2">
      <c r="D2165" s="1"/>
    </row>
    <row r="2166" spans="4:4" x14ac:dyDescent="0.2">
      <c r="D2166" s="1"/>
    </row>
    <row r="2167" spans="4:4" x14ac:dyDescent="0.2">
      <c r="D2167" s="1"/>
    </row>
    <row r="2168" spans="4:4" x14ac:dyDescent="0.2">
      <c r="D2168" s="1"/>
    </row>
    <row r="2169" spans="4:4" x14ac:dyDescent="0.2">
      <c r="D2169" s="1"/>
    </row>
    <row r="2170" spans="4:4" x14ac:dyDescent="0.2">
      <c r="D2170" s="1"/>
    </row>
    <row r="2171" spans="4:4" x14ac:dyDescent="0.2">
      <c r="D2171" s="1"/>
    </row>
    <row r="2172" spans="4:4" x14ac:dyDescent="0.2">
      <c r="D2172" s="1"/>
    </row>
    <row r="2173" spans="4:4" x14ac:dyDescent="0.2">
      <c r="D2173" s="1"/>
    </row>
    <row r="2174" spans="4:4" x14ac:dyDescent="0.2">
      <c r="D2174" s="1"/>
    </row>
    <row r="2175" spans="4:4" x14ac:dyDescent="0.2">
      <c r="D2175" s="1"/>
    </row>
    <row r="2176" spans="4:4" x14ac:dyDescent="0.2">
      <c r="D2176" s="1"/>
    </row>
    <row r="2177" spans="4:4" x14ac:dyDescent="0.2">
      <c r="D2177" s="1"/>
    </row>
    <row r="2178" spans="4:4" x14ac:dyDescent="0.2">
      <c r="D2178" s="1"/>
    </row>
    <row r="2179" spans="4:4" x14ac:dyDescent="0.2">
      <c r="D2179" s="1"/>
    </row>
    <row r="2180" spans="4:4" x14ac:dyDescent="0.2">
      <c r="D2180" s="1"/>
    </row>
    <row r="2181" spans="4:4" x14ac:dyDescent="0.2">
      <c r="D2181" s="1"/>
    </row>
    <row r="2182" spans="4:4" x14ac:dyDescent="0.2">
      <c r="D2182" s="1"/>
    </row>
    <row r="2183" spans="4:4" x14ac:dyDescent="0.2">
      <c r="D2183" s="1"/>
    </row>
    <row r="2184" spans="4:4" x14ac:dyDescent="0.2">
      <c r="D2184" s="1"/>
    </row>
    <row r="2185" spans="4:4" x14ac:dyDescent="0.2">
      <c r="D2185" s="1"/>
    </row>
    <row r="2186" spans="4:4" x14ac:dyDescent="0.2">
      <c r="D2186" s="1"/>
    </row>
    <row r="2187" spans="4:4" x14ac:dyDescent="0.2">
      <c r="D2187" s="1"/>
    </row>
    <row r="2188" spans="4:4" x14ac:dyDescent="0.2">
      <c r="D2188" s="1"/>
    </row>
    <row r="2189" spans="4:4" x14ac:dyDescent="0.2">
      <c r="D2189" s="1"/>
    </row>
    <row r="2190" spans="4:4" x14ac:dyDescent="0.2">
      <c r="D2190" s="1"/>
    </row>
    <row r="2191" spans="4:4" x14ac:dyDescent="0.2">
      <c r="D2191" s="1"/>
    </row>
    <row r="2192" spans="4:4" x14ac:dyDescent="0.2">
      <c r="D2192" s="1"/>
    </row>
    <row r="2193" spans="4:4" x14ac:dyDescent="0.2">
      <c r="D2193" s="1"/>
    </row>
    <row r="2194" spans="4:4" x14ac:dyDescent="0.2">
      <c r="D2194" s="1"/>
    </row>
    <row r="2195" spans="4:4" x14ac:dyDescent="0.2">
      <c r="D2195" s="1"/>
    </row>
    <row r="2196" spans="4:4" x14ac:dyDescent="0.2">
      <c r="D2196" s="1"/>
    </row>
    <row r="2197" spans="4:4" x14ac:dyDescent="0.2">
      <c r="D2197" s="1"/>
    </row>
    <row r="2198" spans="4:4" x14ac:dyDescent="0.2">
      <c r="D2198" s="1"/>
    </row>
    <row r="2199" spans="4:4" x14ac:dyDescent="0.2">
      <c r="D2199" s="1"/>
    </row>
    <row r="2200" spans="4:4" x14ac:dyDescent="0.2">
      <c r="D2200" s="1"/>
    </row>
    <row r="2201" spans="4:4" x14ac:dyDescent="0.2">
      <c r="D2201" s="1"/>
    </row>
    <row r="2202" spans="4:4" x14ac:dyDescent="0.2">
      <c r="D2202" s="1"/>
    </row>
    <row r="2203" spans="4:4" x14ac:dyDescent="0.2">
      <c r="D2203" s="1"/>
    </row>
    <row r="2204" spans="4:4" x14ac:dyDescent="0.2">
      <c r="D2204" s="1"/>
    </row>
    <row r="2205" spans="4:4" x14ac:dyDescent="0.2">
      <c r="D2205" s="1"/>
    </row>
    <row r="2206" spans="4:4" x14ac:dyDescent="0.2">
      <c r="D2206" s="1"/>
    </row>
    <row r="2207" spans="4:4" x14ac:dyDescent="0.2">
      <c r="D2207" s="1"/>
    </row>
    <row r="2208" spans="4:4" x14ac:dyDescent="0.2">
      <c r="D2208" s="1"/>
    </row>
    <row r="2209" spans="4:4" x14ac:dyDescent="0.2">
      <c r="D2209" s="1"/>
    </row>
    <row r="2210" spans="4:4" x14ac:dyDescent="0.2">
      <c r="D2210" s="1"/>
    </row>
    <row r="2211" spans="4:4" x14ac:dyDescent="0.2">
      <c r="D2211" s="1"/>
    </row>
    <row r="2212" spans="4:4" x14ac:dyDescent="0.2">
      <c r="D2212" s="1"/>
    </row>
    <row r="2213" spans="4:4" x14ac:dyDescent="0.2">
      <c r="D2213" s="1"/>
    </row>
    <row r="2214" spans="4:4" x14ac:dyDescent="0.2">
      <c r="D2214" s="1"/>
    </row>
    <row r="2215" spans="4:4" x14ac:dyDescent="0.2">
      <c r="D2215" s="1"/>
    </row>
    <row r="2216" spans="4:4" x14ac:dyDescent="0.2">
      <c r="D2216" s="1"/>
    </row>
    <row r="2217" spans="4:4" x14ac:dyDescent="0.2">
      <c r="D2217" s="1"/>
    </row>
    <row r="2218" spans="4:4" x14ac:dyDescent="0.2">
      <c r="D2218" s="1"/>
    </row>
    <row r="2219" spans="4:4" x14ac:dyDescent="0.2">
      <c r="D2219" s="1"/>
    </row>
    <row r="2220" spans="4:4" x14ac:dyDescent="0.2">
      <c r="D2220" s="1"/>
    </row>
    <row r="2221" spans="4:4" x14ac:dyDescent="0.2">
      <c r="D2221" s="1"/>
    </row>
    <row r="2222" spans="4:4" x14ac:dyDescent="0.2">
      <c r="D2222" s="1"/>
    </row>
    <row r="2223" spans="4:4" x14ac:dyDescent="0.2">
      <c r="D2223" s="1"/>
    </row>
    <row r="2224" spans="4:4" x14ac:dyDescent="0.2">
      <c r="D2224" s="1"/>
    </row>
    <row r="2225" spans="4:4" x14ac:dyDescent="0.2">
      <c r="D2225" s="1"/>
    </row>
    <row r="2226" spans="4:4" x14ac:dyDescent="0.2">
      <c r="D2226" s="1"/>
    </row>
    <row r="2227" spans="4:4" x14ac:dyDescent="0.2">
      <c r="D2227" s="1"/>
    </row>
    <row r="2228" spans="4:4" x14ac:dyDescent="0.2">
      <c r="D2228" s="1"/>
    </row>
    <row r="2229" spans="4:4" x14ac:dyDescent="0.2">
      <c r="D2229" s="1"/>
    </row>
    <row r="2230" spans="4:4" x14ac:dyDescent="0.2">
      <c r="D2230" s="1"/>
    </row>
    <row r="2231" spans="4:4" x14ac:dyDescent="0.2">
      <c r="D2231" s="1"/>
    </row>
    <row r="2232" spans="4:4" x14ac:dyDescent="0.2">
      <c r="D2232" s="1"/>
    </row>
    <row r="2233" spans="4:4" x14ac:dyDescent="0.2">
      <c r="D2233" s="1"/>
    </row>
    <row r="2234" spans="4:4" x14ac:dyDescent="0.2">
      <c r="D2234" s="1"/>
    </row>
    <row r="2235" spans="4:4" x14ac:dyDescent="0.2">
      <c r="D2235" s="1"/>
    </row>
    <row r="2236" spans="4:4" x14ac:dyDescent="0.2">
      <c r="D2236" s="1"/>
    </row>
    <row r="2237" spans="4:4" x14ac:dyDescent="0.2">
      <c r="D2237" s="1"/>
    </row>
    <row r="2238" spans="4:4" x14ac:dyDescent="0.2">
      <c r="D2238" s="1"/>
    </row>
    <row r="2239" spans="4:4" x14ac:dyDescent="0.2">
      <c r="D2239" s="1"/>
    </row>
    <row r="2240" spans="4:4" x14ac:dyDescent="0.2">
      <c r="D2240" s="1"/>
    </row>
    <row r="2241" spans="4:4" x14ac:dyDescent="0.2">
      <c r="D2241" s="1"/>
    </row>
    <row r="2242" spans="4:4" x14ac:dyDescent="0.2">
      <c r="D2242" s="1"/>
    </row>
    <row r="2243" spans="4:4" x14ac:dyDescent="0.2">
      <c r="D2243" s="1"/>
    </row>
    <row r="2244" spans="4:4" x14ac:dyDescent="0.2">
      <c r="D2244" s="1"/>
    </row>
    <row r="2245" spans="4:4" x14ac:dyDescent="0.2">
      <c r="D2245" s="1"/>
    </row>
    <row r="2246" spans="4:4" x14ac:dyDescent="0.2">
      <c r="D2246" s="1"/>
    </row>
    <row r="2247" spans="4:4" x14ac:dyDescent="0.2">
      <c r="D2247" s="1"/>
    </row>
    <row r="2248" spans="4:4" x14ac:dyDescent="0.2">
      <c r="D2248" s="1"/>
    </row>
    <row r="2249" spans="4:4" x14ac:dyDescent="0.2">
      <c r="D2249" s="1"/>
    </row>
    <row r="2250" spans="4:4" x14ac:dyDescent="0.2">
      <c r="D2250" s="1"/>
    </row>
    <row r="2251" spans="4:4" x14ac:dyDescent="0.2">
      <c r="D2251" s="1"/>
    </row>
    <row r="2252" spans="4:4" x14ac:dyDescent="0.2">
      <c r="D2252" s="1"/>
    </row>
    <row r="2253" spans="4:4" x14ac:dyDescent="0.2">
      <c r="D2253" s="1"/>
    </row>
    <row r="2254" spans="4:4" x14ac:dyDescent="0.2">
      <c r="D2254" s="1"/>
    </row>
    <row r="2255" spans="4:4" x14ac:dyDescent="0.2">
      <c r="D2255" s="1"/>
    </row>
    <row r="2256" spans="4:4" x14ac:dyDescent="0.2">
      <c r="D2256" s="1"/>
    </row>
    <row r="2257" spans="4:4" x14ac:dyDescent="0.2">
      <c r="D2257" s="1"/>
    </row>
    <row r="2258" spans="4:4" x14ac:dyDescent="0.2">
      <c r="D2258" s="1"/>
    </row>
    <row r="2259" spans="4:4" x14ac:dyDescent="0.2">
      <c r="D2259" s="1"/>
    </row>
    <row r="2260" spans="4:4" x14ac:dyDescent="0.2">
      <c r="D2260" s="1"/>
    </row>
    <row r="2261" spans="4:4" x14ac:dyDescent="0.2">
      <c r="D2261" s="1"/>
    </row>
    <row r="2262" spans="4:4" x14ac:dyDescent="0.2">
      <c r="D2262" s="1"/>
    </row>
    <row r="2263" spans="4:4" x14ac:dyDescent="0.2">
      <c r="D2263" s="1"/>
    </row>
    <row r="2264" spans="4:4" x14ac:dyDescent="0.2">
      <c r="D2264" s="1"/>
    </row>
    <row r="2265" spans="4:4" x14ac:dyDescent="0.2">
      <c r="D2265" s="1"/>
    </row>
    <row r="2266" spans="4:4" x14ac:dyDescent="0.2">
      <c r="D2266" s="1"/>
    </row>
    <row r="2267" spans="4:4" x14ac:dyDescent="0.2">
      <c r="D2267" s="1"/>
    </row>
    <row r="2268" spans="4:4" x14ac:dyDescent="0.2">
      <c r="D2268" s="1"/>
    </row>
    <row r="2269" spans="4:4" x14ac:dyDescent="0.2">
      <c r="D2269" s="1"/>
    </row>
    <row r="2270" spans="4:4" x14ac:dyDescent="0.2">
      <c r="D2270" s="1"/>
    </row>
    <row r="2271" spans="4:4" x14ac:dyDescent="0.2">
      <c r="D2271" s="1"/>
    </row>
    <row r="2272" spans="4:4" x14ac:dyDescent="0.2">
      <c r="D2272" s="1"/>
    </row>
    <row r="2273" spans="4:4" x14ac:dyDescent="0.2">
      <c r="D2273" s="1"/>
    </row>
    <row r="2274" spans="4:4" x14ac:dyDescent="0.2">
      <c r="D2274" s="1"/>
    </row>
    <row r="2275" spans="4:4" x14ac:dyDescent="0.2">
      <c r="D2275" s="1"/>
    </row>
    <row r="2276" spans="4:4" x14ac:dyDescent="0.2">
      <c r="D2276" s="1"/>
    </row>
    <row r="2277" spans="4:4" x14ac:dyDescent="0.2">
      <c r="D2277" s="1"/>
    </row>
    <row r="2278" spans="4:4" x14ac:dyDescent="0.2">
      <c r="D2278" s="1"/>
    </row>
    <row r="2279" spans="4:4" x14ac:dyDescent="0.2">
      <c r="D2279" s="1"/>
    </row>
    <row r="2280" spans="4:4" x14ac:dyDescent="0.2">
      <c r="D2280" s="1"/>
    </row>
    <row r="2281" spans="4:4" x14ac:dyDescent="0.2">
      <c r="D2281" s="1"/>
    </row>
    <row r="2282" spans="4:4" x14ac:dyDescent="0.2">
      <c r="D2282" s="1"/>
    </row>
    <row r="2283" spans="4:4" x14ac:dyDescent="0.2">
      <c r="D2283" s="1"/>
    </row>
    <row r="2284" spans="4:4" x14ac:dyDescent="0.2">
      <c r="D2284" s="1"/>
    </row>
    <row r="2285" spans="4:4" x14ac:dyDescent="0.2">
      <c r="D2285" s="1"/>
    </row>
    <row r="2286" spans="4:4" x14ac:dyDescent="0.2">
      <c r="D2286" s="1"/>
    </row>
    <row r="2287" spans="4:4" x14ac:dyDescent="0.2">
      <c r="D2287" s="1"/>
    </row>
    <row r="2288" spans="4:4" x14ac:dyDescent="0.2">
      <c r="D2288" s="1"/>
    </row>
    <row r="2289" spans="4:4" x14ac:dyDescent="0.2">
      <c r="D2289" s="1"/>
    </row>
    <row r="2290" spans="4:4" x14ac:dyDescent="0.2">
      <c r="D2290" s="1"/>
    </row>
    <row r="2291" spans="4:4" x14ac:dyDescent="0.2">
      <c r="D2291" s="1"/>
    </row>
    <row r="2292" spans="4:4" x14ac:dyDescent="0.2">
      <c r="D2292" s="1"/>
    </row>
    <row r="2293" spans="4:4" x14ac:dyDescent="0.2">
      <c r="D2293" s="1"/>
    </row>
    <row r="2294" spans="4:4" x14ac:dyDescent="0.2">
      <c r="D2294" s="1"/>
    </row>
    <row r="2295" spans="4:4" x14ac:dyDescent="0.2">
      <c r="D2295" s="1"/>
    </row>
    <row r="2296" spans="4:4" x14ac:dyDescent="0.2">
      <c r="D2296" s="1"/>
    </row>
    <row r="2297" spans="4:4" x14ac:dyDescent="0.2">
      <c r="D2297" s="1"/>
    </row>
    <row r="2298" spans="4:4" x14ac:dyDescent="0.2">
      <c r="D2298" s="1"/>
    </row>
    <row r="2299" spans="4:4" x14ac:dyDescent="0.2">
      <c r="D2299" s="1"/>
    </row>
    <row r="2300" spans="4:4" x14ac:dyDescent="0.2">
      <c r="D2300" s="1"/>
    </row>
    <row r="2301" spans="4:4" x14ac:dyDescent="0.2">
      <c r="D2301" s="1"/>
    </row>
    <row r="2302" spans="4:4" x14ac:dyDescent="0.2">
      <c r="D2302" s="1"/>
    </row>
    <row r="2303" spans="4:4" x14ac:dyDescent="0.2">
      <c r="D2303" s="1"/>
    </row>
    <row r="2304" spans="4:4" x14ac:dyDescent="0.2">
      <c r="D2304" s="1"/>
    </row>
    <row r="2305" spans="4:4" x14ac:dyDescent="0.2">
      <c r="D2305" s="1"/>
    </row>
    <row r="2306" spans="4:4" x14ac:dyDescent="0.2">
      <c r="D2306" s="1"/>
    </row>
    <row r="2307" spans="4:4" x14ac:dyDescent="0.2">
      <c r="D2307" s="1"/>
    </row>
    <row r="2308" spans="4:4" x14ac:dyDescent="0.2">
      <c r="D2308" s="1"/>
    </row>
    <row r="2309" spans="4:4" x14ac:dyDescent="0.2">
      <c r="D2309" s="1"/>
    </row>
    <row r="2310" spans="4:4" x14ac:dyDescent="0.2">
      <c r="D2310" s="1"/>
    </row>
    <row r="2311" spans="4:4" x14ac:dyDescent="0.2">
      <c r="D2311" s="1"/>
    </row>
    <row r="2312" spans="4:4" x14ac:dyDescent="0.2">
      <c r="D2312" s="1"/>
    </row>
    <row r="2313" spans="4:4" x14ac:dyDescent="0.2">
      <c r="D2313" s="1"/>
    </row>
    <row r="2314" spans="4:4" x14ac:dyDescent="0.2">
      <c r="D2314" s="1"/>
    </row>
    <row r="2315" spans="4:4" x14ac:dyDescent="0.2">
      <c r="D2315" s="1"/>
    </row>
    <row r="2316" spans="4:4" x14ac:dyDescent="0.2">
      <c r="D2316" s="1"/>
    </row>
    <row r="2317" spans="4:4" x14ac:dyDescent="0.2">
      <c r="D2317" s="1"/>
    </row>
    <row r="2318" spans="4:4" x14ac:dyDescent="0.2">
      <c r="D2318" s="1"/>
    </row>
    <row r="2319" spans="4:4" x14ac:dyDescent="0.2">
      <c r="D2319" s="1"/>
    </row>
    <row r="2320" spans="4:4" x14ac:dyDescent="0.2">
      <c r="D2320" s="1"/>
    </row>
    <row r="2321" spans="4:4" x14ac:dyDescent="0.2">
      <c r="D2321" s="1"/>
    </row>
    <row r="2322" spans="4:4" x14ac:dyDescent="0.2">
      <c r="D2322" s="1"/>
    </row>
    <row r="2323" spans="4:4" x14ac:dyDescent="0.2">
      <c r="D2323" s="1"/>
    </row>
    <row r="2324" spans="4:4" x14ac:dyDescent="0.2">
      <c r="D2324" s="1"/>
    </row>
    <row r="2325" spans="4:4" x14ac:dyDescent="0.2">
      <c r="D2325" s="1"/>
    </row>
    <row r="2326" spans="4:4" x14ac:dyDescent="0.2">
      <c r="D2326" s="1"/>
    </row>
    <row r="2327" spans="4:4" x14ac:dyDescent="0.2">
      <c r="D2327" s="1"/>
    </row>
    <row r="2328" spans="4:4" x14ac:dyDescent="0.2">
      <c r="D2328" s="1"/>
    </row>
    <row r="2329" spans="4:4" x14ac:dyDescent="0.2">
      <c r="D2329" s="1"/>
    </row>
    <row r="2330" spans="4:4" x14ac:dyDescent="0.2">
      <c r="D2330" s="1"/>
    </row>
    <row r="2331" spans="4:4" x14ac:dyDescent="0.2">
      <c r="D2331" s="1"/>
    </row>
    <row r="2332" spans="4:4" x14ac:dyDescent="0.2">
      <c r="D2332" s="1"/>
    </row>
    <row r="2333" spans="4:4" x14ac:dyDescent="0.2">
      <c r="D2333" s="1"/>
    </row>
    <row r="2334" spans="4:4" x14ac:dyDescent="0.2">
      <c r="D2334" s="1"/>
    </row>
    <row r="2335" spans="4:4" x14ac:dyDescent="0.2">
      <c r="D2335" s="1"/>
    </row>
    <row r="2336" spans="4:4" x14ac:dyDescent="0.2">
      <c r="D2336" s="1"/>
    </row>
    <row r="2337" spans="4:4" x14ac:dyDescent="0.2">
      <c r="D2337" s="1"/>
    </row>
    <row r="2338" spans="4:4" x14ac:dyDescent="0.2">
      <c r="D2338" s="1"/>
    </row>
    <row r="2339" spans="4:4" x14ac:dyDescent="0.2">
      <c r="D2339" s="1"/>
    </row>
    <row r="2340" spans="4:4" x14ac:dyDescent="0.2">
      <c r="D2340" s="1"/>
    </row>
    <row r="2341" spans="4:4" x14ac:dyDescent="0.2">
      <c r="D2341" s="1"/>
    </row>
    <row r="2342" spans="4:4" x14ac:dyDescent="0.2">
      <c r="D2342" s="1"/>
    </row>
    <row r="2343" spans="4:4" x14ac:dyDescent="0.2">
      <c r="D2343" s="1"/>
    </row>
    <row r="2344" spans="4:4" x14ac:dyDescent="0.2">
      <c r="D2344" s="1"/>
    </row>
    <row r="2345" spans="4:4" x14ac:dyDescent="0.2">
      <c r="D2345" s="1"/>
    </row>
    <row r="2346" spans="4:4" x14ac:dyDescent="0.2">
      <c r="D2346" s="1"/>
    </row>
    <row r="2347" spans="4:4" x14ac:dyDescent="0.2">
      <c r="D2347" s="1"/>
    </row>
    <row r="2348" spans="4:4" x14ac:dyDescent="0.2">
      <c r="D2348" s="1"/>
    </row>
    <row r="2349" spans="4:4" x14ac:dyDescent="0.2">
      <c r="D2349" s="1"/>
    </row>
    <row r="2350" spans="4:4" x14ac:dyDescent="0.2">
      <c r="D2350" s="1"/>
    </row>
    <row r="2351" spans="4:4" x14ac:dyDescent="0.2">
      <c r="D2351" s="1"/>
    </row>
    <row r="2352" spans="4:4" x14ac:dyDescent="0.2">
      <c r="D2352" s="1"/>
    </row>
    <row r="2353" spans="4:4" x14ac:dyDescent="0.2">
      <c r="D2353" s="1"/>
    </row>
    <row r="2354" spans="4:4" x14ac:dyDescent="0.2">
      <c r="D2354" s="1"/>
    </row>
    <row r="2355" spans="4:4" x14ac:dyDescent="0.2">
      <c r="D2355" s="1"/>
    </row>
    <row r="2356" spans="4:4" x14ac:dyDescent="0.2">
      <c r="D2356" s="1"/>
    </row>
    <row r="2357" spans="4:4" x14ac:dyDescent="0.2">
      <c r="D2357" s="1"/>
    </row>
    <row r="2358" spans="4:4" x14ac:dyDescent="0.2">
      <c r="D2358" s="1"/>
    </row>
    <row r="2359" spans="4:4" x14ac:dyDescent="0.2">
      <c r="D2359" s="1"/>
    </row>
    <row r="2360" spans="4:4" x14ac:dyDescent="0.2">
      <c r="D2360" s="1"/>
    </row>
    <row r="2361" spans="4:4" x14ac:dyDescent="0.2">
      <c r="D2361" s="1"/>
    </row>
    <row r="2362" spans="4:4" x14ac:dyDescent="0.2">
      <c r="D2362" s="1"/>
    </row>
    <row r="2363" spans="4:4" x14ac:dyDescent="0.2">
      <c r="D2363" s="1"/>
    </row>
    <row r="2364" spans="4:4" x14ac:dyDescent="0.2">
      <c r="D2364" s="1"/>
    </row>
    <row r="2365" spans="4:4" x14ac:dyDescent="0.2">
      <c r="D2365" s="1"/>
    </row>
    <row r="2366" spans="4:4" x14ac:dyDescent="0.2">
      <c r="D2366" s="1"/>
    </row>
    <row r="2367" spans="4:4" x14ac:dyDescent="0.2">
      <c r="D2367" s="1"/>
    </row>
    <row r="2368" spans="4:4" x14ac:dyDescent="0.2">
      <c r="D2368" s="1"/>
    </row>
    <row r="2369" spans="4:4" x14ac:dyDescent="0.2">
      <c r="D2369" s="1"/>
    </row>
    <row r="2370" spans="4:4" x14ac:dyDescent="0.2">
      <c r="D2370" s="1"/>
    </row>
    <row r="2371" spans="4:4" x14ac:dyDescent="0.2">
      <c r="D2371" s="1"/>
    </row>
    <row r="2372" spans="4:4" x14ac:dyDescent="0.2">
      <c r="D2372" s="1"/>
    </row>
    <row r="2373" spans="4:4" x14ac:dyDescent="0.2">
      <c r="D2373" s="1"/>
    </row>
    <row r="2374" spans="4:4" x14ac:dyDescent="0.2">
      <c r="D2374" s="1"/>
    </row>
    <row r="2375" spans="4:4" x14ac:dyDescent="0.2">
      <c r="D2375" s="1"/>
    </row>
    <row r="2376" spans="4:4" x14ac:dyDescent="0.2">
      <c r="D2376" s="1"/>
    </row>
    <row r="2377" spans="4:4" x14ac:dyDescent="0.2">
      <c r="D2377" s="1"/>
    </row>
    <row r="2378" spans="4:4" x14ac:dyDescent="0.2">
      <c r="D2378" s="1"/>
    </row>
    <row r="2379" spans="4:4" x14ac:dyDescent="0.2">
      <c r="D2379" s="1"/>
    </row>
    <row r="2380" spans="4:4" x14ac:dyDescent="0.2">
      <c r="D2380" s="1"/>
    </row>
    <row r="2381" spans="4:4" x14ac:dyDescent="0.2">
      <c r="D2381" s="1"/>
    </row>
    <row r="2383" spans="4:4" x14ac:dyDescent="0.2">
      <c r="D2383" s="1"/>
    </row>
    <row r="2384" spans="4:4" x14ac:dyDescent="0.2">
      <c r="D2384" s="1"/>
    </row>
    <row r="2385" spans="4:4" x14ac:dyDescent="0.2">
      <c r="D2385" s="1"/>
    </row>
    <row r="2386" spans="4:4" x14ac:dyDescent="0.2">
      <c r="D2386" s="1"/>
    </row>
    <row r="2387" spans="4:4" x14ac:dyDescent="0.2">
      <c r="D2387" s="1"/>
    </row>
    <row r="2389" spans="4:4" x14ac:dyDescent="0.2">
      <c r="D2389" s="1"/>
    </row>
    <row r="2391" spans="4:4" x14ac:dyDescent="0.2">
      <c r="D2391" s="1"/>
    </row>
    <row r="2393" spans="4:4" x14ac:dyDescent="0.2">
      <c r="D2393" s="1"/>
    </row>
    <row r="2394" spans="4:4" x14ac:dyDescent="0.2">
      <c r="D2394" s="1"/>
    </row>
    <row r="2396" spans="4:4" x14ac:dyDescent="0.2">
      <c r="D2396" s="1"/>
    </row>
    <row r="2397" spans="4:4" x14ac:dyDescent="0.2">
      <c r="D2397" s="1"/>
    </row>
    <row r="2403" spans="4:4" x14ac:dyDescent="0.2">
      <c r="D2403" s="1"/>
    </row>
    <row r="2405" spans="4:4" x14ac:dyDescent="0.2">
      <c r="D2405" s="1"/>
    </row>
    <row r="2407" spans="4:4" x14ac:dyDescent="0.2">
      <c r="D2407" s="1"/>
    </row>
    <row r="2411" spans="4:4" x14ac:dyDescent="0.2">
      <c r="D2411" s="1"/>
    </row>
    <row r="2428" spans="4:4" x14ac:dyDescent="0.2">
      <c r="D2428" s="1"/>
    </row>
    <row r="2431" spans="4:4" x14ac:dyDescent="0.2">
      <c r="D2431" s="1"/>
    </row>
    <row r="2447" spans="4:4" x14ac:dyDescent="0.2">
      <c r="D2447" s="1"/>
    </row>
  </sheetData>
  <mergeCells count="2">
    <mergeCell ref="A7:D7"/>
    <mergeCell ref="F7:H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BE1F5-AE0E-458A-BF56-25758073E6CA}">
  <dimension ref="A2:H2447"/>
  <sheetViews>
    <sheetView topLeftCell="A217" workbookViewId="0">
      <selection activeCell="G9" sqref="G9:H257"/>
    </sheetView>
  </sheetViews>
  <sheetFormatPr baseColWidth="10" defaultColWidth="8.83203125" defaultRowHeight="15" x14ac:dyDescent="0.2"/>
  <cols>
    <col min="1" max="1" width="16.1640625" customWidth="1"/>
    <col min="2" max="2" width="17.33203125" customWidth="1"/>
    <col min="3" max="3" width="14" customWidth="1"/>
    <col min="4" max="4" width="15.1640625" customWidth="1"/>
    <col min="5" max="5" width="10.33203125" customWidth="1"/>
    <col min="6" max="6" width="13.6640625" customWidth="1"/>
    <col min="7" max="7" width="12.6640625" customWidth="1"/>
  </cols>
  <sheetData>
    <row r="2" spans="1:8" x14ac:dyDescent="0.2">
      <c r="B2" t="s">
        <v>23</v>
      </c>
    </row>
    <row r="3" spans="1:8" x14ac:dyDescent="0.2"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8" x14ac:dyDescent="0.2">
      <c r="C4" s="1">
        <f>'sample info summary'!B14*10^-6</f>
        <v>8.2789999999999998E-5</v>
      </c>
      <c r="D4">
        <f>'sample info summary'!C14</f>
        <v>4.01</v>
      </c>
      <c r="E4">
        <f>'sample info summary'!D14</f>
        <v>4.03</v>
      </c>
      <c r="F4">
        <f>'sample info summary'!E14</f>
        <v>1E-4</v>
      </c>
      <c r="G4" s="1">
        <f>(D4*E4*F4)*0.000000001</f>
        <v>1.6160300000000001E-12</v>
      </c>
    </row>
    <row r="7" spans="1:8" x14ac:dyDescent="0.2">
      <c r="A7" s="17" t="s">
        <v>9</v>
      </c>
      <c r="B7" s="17"/>
      <c r="C7" s="17"/>
      <c r="D7" s="17"/>
      <c r="F7" s="17" t="s">
        <v>10</v>
      </c>
      <c r="G7" s="17"/>
      <c r="H7" s="17"/>
    </row>
    <row r="8" spans="1:8" x14ac:dyDescent="0.2">
      <c r="A8" t="s">
        <v>11</v>
      </c>
      <c r="B8" t="s">
        <v>12</v>
      </c>
      <c r="C8" t="s">
        <v>13</v>
      </c>
      <c r="D8" t="s">
        <v>14</v>
      </c>
      <c r="F8" t="s">
        <v>16</v>
      </c>
      <c r="G8" t="s">
        <v>15</v>
      </c>
      <c r="H8" t="s">
        <v>17</v>
      </c>
    </row>
    <row r="9" spans="1:8" x14ac:dyDescent="0.2">
      <c r="A9">
        <v>293.17030334472702</v>
      </c>
      <c r="B9">
        <v>-0.30870696902275102</v>
      </c>
      <c r="C9" s="1">
        <v>-3.1594907025105803E-5</v>
      </c>
      <c r="D9" s="1">
        <v>3.4857042017860001E-7</v>
      </c>
      <c r="F9">
        <f t="shared" ref="F9:F72" si="0">C9/1000</f>
        <v>-3.1594907025105805E-8</v>
      </c>
      <c r="G9">
        <f t="shared" ref="G9:G72" si="1">(B9*1000)/(4*PI())</f>
        <v>-24.566120043443718</v>
      </c>
      <c r="H9">
        <f t="shared" ref="H9:H72" si="2">F9/$G$4</f>
        <v>-19550.940901533882</v>
      </c>
    </row>
    <row r="10" spans="1:8" x14ac:dyDescent="0.2">
      <c r="A10">
        <v>293.16047668457003</v>
      </c>
      <c r="B10">
        <v>1.0895538926124599</v>
      </c>
      <c r="C10" s="1">
        <v>-3.0897024528179298E-5</v>
      </c>
      <c r="D10" s="1">
        <v>4.2709198435313099E-7</v>
      </c>
      <c r="F10">
        <f t="shared" si="0"/>
        <v>-3.0897024528179295E-8</v>
      </c>
      <c r="G10">
        <f t="shared" si="1"/>
        <v>86.703943887144561</v>
      </c>
      <c r="H10">
        <f t="shared" si="2"/>
        <v>-19119.090937779183</v>
      </c>
    </row>
    <row r="11" spans="1:8" x14ac:dyDescent="0.2">
      <c r="A11">
        <v>293.15637207031301</v>
      </c>
      <c r="B11">
        <v>1.07139468193054</v>
      </c>
      <c r="C11" s="1">
        <v>-3.1015786806901601E-5</v>
      </c>
      <c r="D11" s="1">
        <v>2.85613477778052E-7</v>
      </c>
      <c r="F11">
        <f t="shared" si="0"/>
        <v>-3.1015786806901601E-8</v>
      </c>
      <c r="G11">
        <f t="shared" si="1"/>
        <v>85.258879815807191</v>
      </c>
      <c r="H11">
        <f t="shared" si="2"/>
        <v>-19192.581082592278</v>
      </c>
    </row>
    <row r="12" spans="1:8" x14ac:dyDescent="0.2">
      <c r="A12">
        <v>293.14791870117199</v>
      </c>
      <c r="B12">
        <v>1.09863352775574</v>
      </c>
      <c r="C12" s="1">
        <v>-3.0809339882042103E-5</v>
      </c>
      <c r="D12" s="1">
        <v>2.7933650538909802E-7</v>
      </c>
      <c r="F12">
        <f t="shared" si="0"/>
        <v>-3.0809339882042103E-8</v>
      </c>
      <c r="G12">
        <f t="shared" si="1"/>
        <v>87.426478294406508</v>
      </c>
      <c r="H12">
        <f t="shared" si="2"/>
        <v>-19064.831644240578</v>
      </c>
    </row>
    <row r="13" spans="1:8" x14ac:dyDescent="0.2">
      <c r="A13">
        <v>293.14216613769503</v>
      </c>
      <c r="B13">
        <v>1.60709208250046</v>
      </c>
      <c r="C13" s="1">
        <v>-3.1153560620455201E-5</v>
      </c>
      <c r="D13" s="1">
        <v>3.5288220725332498E-7</v>
      </c>
      <c r="F13">
        <f t="shared" si="0"/>
        <v>-3.1153560620455202E-8</v>
      </c>
      <c r="G13">
        <f t="shared" si="1"/>
        <v>127.88832446689814</v>
      </c>
      <c r="H13">
        <f t="shared" si="2"/>
        <v>-19277.835572641103</v>
      </c>
    </row>
    <row r="14" spans="1:8" x14ac:dyDescent="0.2">
      <c r="A14">
        <v>293.13490295410202</v>
      </c>
      <c r="B14">
        <v>2.0519932508468601</v>
      </c>
      <c r="C14" s="1">
        <v>-3.1136597569479198E-5</v>
      </c>
      <c r="D14" s="1">
        <v>2.8452557861145299E-7</v>
      </c>
      <c r="F14">
        <f t="shared" si="0"/>
        <v>-3.11365975694792E-8</v>
      </c>
      <c r="G14">
        <f t="shared" si="1"/>
        <v>163.29243453174266</v>
      </c>
      <c r="H14">
        <f t="shared" si="2"/>
        <v>-19267.338830021225</v>
      </c>
    </row>
    <row r="15" spans="1:8" x14ac:dyDescent="0.2">
      <c r="A15">
        <v>293.12693786621099</v>
      </c>
      <c r="B15">
        <v>2.5422924757003802</v>
      </c>
      <c r="C15" s="1">
        <v>-3.0742676633053797E-5</v>
      </c>
      <c r="D15" s="1">
        <v>3.3697922246490698E-7</v>
      </c>
      <c r="F15">
        <f t="shared" si="0"/>
        <v>-3.0742676633053799E-8</v>
      </c>
      <c r="G15">
        <f t="shared" si="1"/>
        <v>202.30920714652387</v>
      </c>
      <c r="H15">
        <f t="shared" si="2"/>
        <v>-19023.580399530823</v>
      </c>
    </row>
    <row r="16" spans="1:8" x14ac:dyDescent="0.2">
      <c r="A16">
        <v>293.11917114257801</v>
      </c>
      <c r="B16">
        <v>3.6772445440292398</v>
      </c>
      <c r="C16" s="1">
        <v>-3.0078232071142999E-5</v>
      </c>
      <c r="D16" s="1">
        <v>2.4245180297031597E-7</v>
      </c>
      <c r="F16">
        <f t="shared" si="0"/>
        <v>-3.0078232071143E-8</v>
      </c>
      <c r="G16">
        <f t="shared" si="1"/>
        <v>292.62582306997814</v>
      </c>
      <c r="H16">
        <f t="shared" si="2"/>
        <v>-18612.421843123579</v>
      </c>
    </row>
    <row r="17" spans="1:8" x14ac:dyDescent="0.2">
      <c r="A17">
        <v>293.11128234863298</v>
      </c>
      <c r="B17">
        <v>4.1675438880920401</v>
      </c>
      <c r="C17" s="1">
        <v>-3.03367038893848E-5</v>
      </c>
      <c r="D17" s="1">
        <v>3.7320444047309998E-7</v>
      </c>
      <c r="F17">
        <f t="shared" si="0"/>
        <v>-3.0336703889384797E-8</v>
      </c>
      <c r="G17">
        <f t="shared" si="1"/>
        <v>331.64260517113246</v>
      </c>
      <c r="H17">
        <f t="shared" si="2"/>
        <v>-18772.36430597501</v>
      </c>
    </row>
    <row r="18" spans="1:8" x14ac:dyDescent="0.2">
      <c r="A18">
        <v>293.10458374023398</v>
      </c>
      <c r="B18">
        <v>5.90175056457519</v>
      </c>
      <c r="C18" s="1">
        <v>-3.04543443349705E-5</v>
      </c>
      <c r="D18" s="1">
        <v>3.3465650171474903E-7</v>
      </c>
      <c r="F18">
        <f t="shared" si="0"/>
        <v>-3.0454344334970501E-8</v>
      </c>
      <c r="G18">
        <f t="shared" si="1"/>
        <v>469.64638762376279</v>
      </c>
      <c r="H18">
        <f t="shared" si="2"/>
        <v>-18845.16026000167</v>
      </c>
    </row>
    <row r="19" spans="1:8" x14ac:dyDescent="0.2">
      <c r="A19">
        <v>293.09783935546898</v>
      </c>
      <c r="B19">
        <v>7.2909319400787398</v>
      </c>
      <c r="C19" s="1">
        <v>-3.0330209950366001E-5</v>
      </c>
      <c r="D19" s="1">
        <v>2.7323332129521602E-7</v>
      </c>
      <c r="F19">
        <f t="shared" si="0"/>
        <v>-3.0330209950366002E-8</v>
      </c>
      <c r="G19">
        <f t="shared" si="1"/>
        <v>580.19392900505693</v>
      </c>
      <c r="H19">
        <f t="shared" si="2"/>
        <v>-18768.345853954444</v>
      </c>
    </row>
    <row r="20" spans="1:8" x14ac:dyDescent="0.2">
      <c r="A20">
        <v>293.08973693847702</v>
      </c>
      <c r="B20">
        <v>8.9797401428222692</v>
      </c>
      <c r="C20" s="1">
        <v>-2.9782198572652801E-5</v>
      </c>
      <c r="D20" s="1">
        <v>3.2678142839614398E-7</v>
      </c>
      <c r="F20">
        <f t="shared" si="0"/>
        <v>-2.9782198572652802E-8</v>
      </c>
      <c r="G20">
        <f t="shared" si="1"/>
        <v>714.5850157054432</v>
      </c>
      <c r="H20">
        <f t="shared" si="2"/>
        <v>-18429.236197751776</v>
      </c>
    </row>
    <row r="21" spans="1:8" x14ac:dyDescent="0.2">
      <c r="A21">
        <v>293.08442687988298</v>
      </c>
      <c r="B21">
        <v>10.7593455314636</v>
      </c>
      <c r="C21" s="1">
        <v>-2.9194978954264199E-5</v>
      </c>
      <c r="D21" s="1">
        <v>3.16666902975188E-7</v>
      </c>
      <c r="F21">
        <f t="shared" si="0"/>
        <v>-2.9194978954264199E-8</v>
      </c>
      <c r="G21">
        <f t="shared" si="1"/>
        <v>856.20151288306386</v>
      </c>
      <c r="H21">
        <f t="shared" si="2"/>
        <v>-18065.864466788487</v>
      </c>
    </row>
    <row r="22" spans="1:8" x14ac:dyDescent="0.2">
      <c r="A22">
        <v>293.07916259765602</v>
      </c>
      <c r="B22">
        <v>13.455991744995099</v>
      </c>
      <c r="C22" s="1">
        <v>-2.9095826232494401E-5</v>
      </c>
      <c r="D22" s="1">
        <v>2.9387154878770202E-7</v>
      </c>
      <c r="F22">
        <f t="shared" si="0"/>
        <v>-2.90958262324944E-8</v>
      </c>
      <c r="G22">
        <f t="shared" si="1"/>
        <v>1070.7938002098542</v>
      </c>
      <c r="H22">
        <f t="shared" si="2"/>
        <v>-18004.50872353508</v>
      </c>
    </row>
    <row r="23" spans="1:8" x14ac:dyDescent="0.2">
      <c r="A23">
        <v>293.07321166992199</v>
      </c>
      <c r="B23">
        <v>16.52490234375</v>
      </c>
      <c r="C23" s="1">
        <v>-2.9104264527596999E-5</v>
      </c>
      <c r="D23" s="1">
        <v>2.74074454743649E-7</v>
      </c>
      <c r="F23">
        <f t="shared" si="0"/>
        <v>-2.9104264527596999E-8</v>
      </c>
      <c r="G23">
        <f t="shared" si="1"/>
        <v>1315.0099460593296</v>
      </c>
      <c r="H23">
        <f t="shared" si="2"/>
        <v>-18009.730343865522</v>
      </c>
    </row>
    <row r="24" spans="1:8" x14ac:dyDescent="0.2">
      <c r="A24">
        <v>293.07015991210898</v>
      </c>
      <c r="B24">
        <v>20.519931793212901</v>
      </c>
      <c r="C24" s="1">
        <v>-2.76802699493622E-5</v>
      </c>
      <c r="D24" s="1">
        <v>2.87684146562931E-7</v>
      </c>
      <c r="F24">
        <f t="shared" si="0"/>
        <v>-2.76802699493622E-8</v>
      </c>
      <c r="G24">
        <f t="shared" si="1"/>
        <v>1632.9242883991867</v>
      </c>
      <c r="H24">
        <f t="shared" si="2"/>
        <v>-17128.561938430721</v>
      </c>
    </row>
    <row r="25" spans="1:8" x14ac:dyDescent="0.2">
      <c r="A25">
        <v>293.06408691406301</v>
      </c>
      <c r="B25">
        <v>25.186855316162099</v>
      </c>
      <c r="C25" s="1">
        <v>-2.75009360593677E-5</v>
      </c>
      <c r="D25" s="1">
        <v>3.1218150372547999E-7</v>
      </c>
      <c r="F25">
        <f t="shared" si="0"/>
        <v>-2.7500936059367701E-8</v>
      </c>
      <c r="G25">
        <f t="shared" si="1"/>
        <v>2004.3062622537902</v>
      </c>
      <c r="H25">
        <f t="shared" si="2"/>
        <v>-17017.59005672401</v>
      </c>
    </row>
    <row r="26" spans="1:8" x14ac:dyDescent="0.2">
      <c r="A26">
        <v>293.05970764160202</v>
      </c>
      <c r="B26">
        <v>31.0704460144043</v>
      </c>
      <c r="C26" s="1">
        <v>-2.7063343963264201E-5</v>
      </c>
      <c r="D26" s="1">
        <v>3.03659924491949E-7</v>
      </c>
      <c r="F26">
        <f t="shared" si="0"/>
        <v>-2.70633439632642E-8</v>
      </c>
      <c r="G26">
        <f t="shared" si="1"/>
        <v>2472.5075336311616</v>
      </c>
      <c r="H26">
        <f t="shared" si="2"/>
        <v>-16746.807895437709</v>
      </c>
    </row>
    <row r="27" spans="1:8" x14ac:dyDescent="0.2">
      <c r="A27">
        <v>293.05638122558599</v>
      </c>
      <c r="B27">
        <v>38.270582199096701</v>
      </c>
      <c r="C27" s="1">
        <v>-2.60088199465279E-5</v>
      </c>
      <c r="D27" s="1">
        <v>2.7459913784378E-7</v>
      </c>
      <c r="F27">
        <f t="shared" si="0"/>
        <v>-2.6008819946527899E-8</v>
      </c>
      <c r="G27">
        <f t="shared" si="1"/>
        <v>3045.4761659954693</v>
      </c>
      <c r="H27">
        <f t="shared" si="2"/>
        <v>-16094.268018865923</v>
      </c>
    </row>
    <row r="28" spans="1:8" x14ac:dyDescent="0.2">
      <c r="A28">
        <v>293.05253601074202</v>
      </c>
      <c r="B28">
        <v>47.159524917602504</v>
      </c>
      <c r="C28" s="1">
        <v>-2.4535994691446199E-5</v>
      </c>
      <c r="D28" s="1">
        <v>2.6033770814468801E-7</v>
      </c>
      <c r="F28">
        <f t="shared" si="0"/>
        <v>-2.45359946914462E-8</v>
      </c>
      <c r="G28">
        <f t="shared" si="1"/>
        <v>3752.8357522509232</v>
      </c>
      <c r="H28">
        <f t="shared" si="2"/>
        <v>-15182.883171380605</v>
      </c>
    </row>
    <row r="29" spans="1:8" x14ac:dyDescent="0.2">
      <c r="A29">
        <v>293.04856872558599</v>
      </c>
      <c r="B29">
        <v>58.027824401855497</v>
      </c>
      <c r="C29" s="1">
        <v>-2.3927251773105799E-5</v>
      </c>
      <c r="D29" s="1">
        <v>3.0270925594733498E-7</v>
      </c>
      <c r="F29">
        <f t="shared" si="0"/>
        <v>-2.3927251773105798E-8</v>
      </c>
      <c r="G29">
        <f t="shared" si="1"/>
        <v>4617.7075452119034</v>
      </c>
      <c r="H29">
        <f t="shared" si="2"/>
        <v>-14806.192813936495</v>
      </c>
    </row>
    <row r="30" spans="1:8" x14ac:dyDescent="0.2">
      <c r="A30">
        <v>293.04426574707003</v>
      </c>
      <c r="B30">
        <v>71.456577301025405</v>
      </c>
      <c r="C30" s="1">
        <v>-2.1194671275791101E-5</v>
      </c>
      <c r="D30" s="1">
        <v>3.10683988937396E-7</v>
      </c>
      <c r="F30">
        <f t="shared" si="0"/>
        <v>-2.1194671275791102E-8</v>
      </c>
      <c r="G30">
        <f t="shared" si="1"/>
        <v>5686.333746943159</v>
      </c>
      <c r="H30">
        <f t="shared" si="2"/>
        <v>-13115.270926771842</v>
      </c>
    </row>
    <row r="31" spans="1:8" x14ac:dyDescent="0.2">
      <c r="A31">
        <v>293.04188537597702</v>
      </c>
      <c r="B31">
        <v>88.135833740234403</v>
      </c>
      <c r="C31" s="1">
        <v>-1.83606023984895E-5</v>
      </c>
      <c r="D31" s="1">
        <v>3.54869680150161E-7</v>
      </c>
      <c r="F31">
        <f t="shared" si="0"/>
        <v>-1.8360602398489499E-8</v>
      </c>
      <c r="G31">
        <f t="shared" si="1"/>
        <v>7013.626801641878</v>
      </c>
      <c r="H31">
        <f t="shared" si="2"/>
        <v>-11361.547990129822</v>
      </c>
    </row>
    <row r="32" spans="1:8" x14ac:dyDescent="0.2">
      <c r="A32">
        <v>293.03961181640602</v>
      </c>
      <c r="B32">
        <v>108.64668655395501</v>
      </c>
      <c r="C32" s="1">
        <v>-1.5323600197557899E-5</v>
      </c>
      <c r="D32" s="1">
        <v>3.1014513990364E-7</v>
      </c>
      <c r="F32">
        <f t="shared" si="0"/>
        <v>-1.5323600197557899E-8</v>
      </c>
      <c r="G32">
        <f t="shared" si="1"/>
        <v>8645.8286078088495</v>
      </c>
      <c r="H32">
        <f t="shared" si="2"/>
        <v>-9482.2498329597202</v>
      </c>
    </row>
    <row r="33" spans="1:8" x14ac:dyDescent="0.2">
      <c r="A33">
        <v>293.03627014160202</v>
      </c>
      <c r="B33">
        <v>133.697341918945</v>
      </c>
      <c r="C33" s="1">
        <v>-1.0617939625402799E-5</v>
      </c>
      <c r="D33" s="1">
        <v>3.1994827707439702E-7</v>
      </c>
      <c r="F33">
        <f t="shared" si="0"/>
        <v>-1.0617939625402799E-8</v>
      </c>
      <c r="G33">
        <f t="shared" si="1"/>
        <v>10639.296422323681</v>
      </c>
      <c r="H33">
        <f t="shared" si="2"/>
        <v>-6570.3852189642512</v>
      </c>
    </row>
    <row r="34" spans="1:8" x14ac:dyDescent="0.2">
      <c r="A34">
        <v>293.03337097167997</v>
      </c>
      <c r="B34">
        <v>164.495414733887</v>
      </c>
      <c r="C34" s="1">
        <v>-3.33940585546295E-6</v>
      </c>
      <c r="D34" s="1">
        <v>3.1812437675101301E-7</v>
      </c>
      <c r="F34">
        <f t="shared" si="0"/>
        <v>-3.3394058554629498E-9</v>
      </c>
      <c r="G34">
        <f t="shared" si="1"/>
        <v>13090.129185424756</v>
      </c>
      <c r="H34">
        <f t="shared" si="2"/>
        <v>-2066.4256576071916</v>
      </c>
    </row>
    <row r="35" spans="1:8" x14ac:dyDescent="0.2">
      <c r="A35">
        <v>293.03021240234398</v>
      </c>
      <c r="B35">
        <v>202.448204040527</v>
      </c>
      <c r="C35" s="1">
        <v>3.5818897750415701E-6</v>
      </c>
      <c r="D35" s="1">
        <v>3.9493848421270799E-7</v>
      </c>
      <c r="F35">
        <f t="shared" si="0"/>
        <v>3.5818897750415702E-9</v>
      </c>
      <c r="G35">
        <f t="shared" si="1"/>
        <v>16110.316196563244</v>
      </c>
      <c r="H35">
        <f t="shared" si="2"/>
        <v>2216.4748024736978</v>
      </c>
    </row>
    <row r="36" spans="1:8" x14ac:dyDescent="0.2">
      <c r="A36">
        <v>293.02745056152298</v>
      </c>
      <c r="B36">
        <v>249.28086090087899</v>
      </c>
      <c r="C36" s="1">
        <v>1.5575539219833598E-5</v>
      </c>
      <c r="D36" s="1">
        <v>2.9622581640150099E-7</v>
      </c>
      <c r="F36">
        <f t="shared" si="0"/>
        <v>1.5575539219833599E-8</v>
      </c>
      <c r="G36">
        <f t="shared" si="1"/>
        <v>19837.140615289038</v>
      </c>
      <c r="H36">
        <f t="shared" si="2"/>
        <v>9638.1497990963035</v>
      </c>
    </row>
    <row r="37" spans="1:8" x14ac:dyDescent="0.2">
      <c r="A37">
        <v>293.02304077148398</v>
      </c>
      <c r="B37">
        <v>306.86378479003901</v>
      </c>
      <c r="C37" s="1">
        <v>3.0454554754583701E-5</v>
      </c>
      <c r="D37" s="1">
        <v>3.04151318819666E-7</v>
      </c>
      <c r="F37">
        <f t="shared" si="0"/>
        <v>3.0454554754583702E-8</v>
      </c>
      <c r="G37">
        <f t="shared" si="1"/>
        <v>24419.444102611138</v>
      </c>
      <c r="H37">
        <f t="shared" si="2"/>
        <v>18845.290467741132</v>
      </c>
    </row>
    <row r="38" spans="1:8" x14ac:dyDescent="0.2">
      <c r="A38">
        <v>293.02055358886702</v>
      </c>
      <c r="B38">
        <v>377.99349975585898</v>
      </c>
      <c r="C38" s="1">
        <v>4.9493265773460398E-5</v>
      </c>
      <c r="D38" s="1">
        <v>3.9528140072796799E-7</v>
      </c>
      <c r="F38">
        <f t="shared" si="0"/>
        <v>4.94932657734604E-8</v>
      </c>
      <c r="G38">
        <f t="shared" si="1"/>
        <v>30079.766971375044</v>
      </c>
      <c r="H38">
        <f t="shared" si="2"/>
        <v>30626.452339040981</v>
      </c>
    </row>
    <row r="39" spans="1:8" x14ac:dyDescent="0.2">
      <c r="A39">
        <v>293.01863098144503</v>
      </c>
      <c r="B39">
        <v>465.66627502441401</v>
      </c>
      <c r="C39" s="1">
        <v>7.3862478546463204E-5</v>
      </c>
      <c r="D39" s="1">
        <v>3.4126866680859498E-7</v>
      </c>
      <c r="F39">
        <f t="shared" si="0"/>
        <v>7.3862478546463203E-8</v>
      </c>
      <c r="G39">
        <f t="shared" si="1"/>
        <v>37056.544750662746</v>
      </c>
      <c r="H39">
        <f t="shared" si="2"/>
        <v>45706.130793650613</v>
      </c>
    </row>
    <row r="40" spans="1:8" x14ac:dyDescent="0.2">
      <c r="A40">
        <v>293.01701354980497</v>
      </c>
      <c r="B40">
        <v>573.58657836914097</v>
      </c>
      <c r="C40" s="1">
        <v>9.9119058352874098E-5</v>
      </c>
      <c r="D40" s="1">
        <v>2.8962698533708502E-7</v>
      </c>
      <c r="F40">
        <f t="shared" si="0"/>
        <v>9.9119058352874099E-8</v>
      </c>
      <c r="G40">
        <f t="shared" si="1"/>
        <v>45644.569619307797</v>
      </c>
      <c r="H40">
        <f t="shared" si="2"/>
        <v>61334.912317762719</v>
      </c>
    </row>
    <row r="41" spans="1:8" x14ac:dyDescent="0.2">
      <c r="A41">
        <v>293.01348876953102</v>
      </c>
      <c r="B41">
        <v>706.049072265625</v>
      </c>
      <c r="C41">
        <v>1.27784961817047E-4</v>
      </c>
      <c r="D41" s="1">
        <v>2.9292162469104502E-7</v>
      </c>
      <c r="F41">
        <f t="shared" si="0"/>
        <v>1.2778496181704699E-7</v>
      </c>
      <c r="G41">
        <f t="shared" si="1"/>
        <v>56185.599958260522</v>
      </c>
      <c r="H41">
        <f t="shared" si="2"/>
        <v>79073.384663061326</v>
      </c>
    </row>
    <row r="42" spans="1:8" x14ac:dyDescent="0.2">
      <c r="A42">
        <v>293.01152038574202</v>
      </c>
      <c r="B42">
        <v>870.06329345703102</v>
      </c>
      <c r="C42">
        <v>1.5763141749676899E-4</v>
      </c>
      <c r="D42" s="1">
        <v>2.6880887974427699E-7</v>
      </c>
      <c r="F42">
        <f t="shared" si="0"/>
        <v>1.5763141749676899E-7</v>
      </c>
      <c r="G42">
        <f t="shared" si="1"/>
        <v>69237.436978250407</v>
      </c>
      <c r="H42">
        <f t="shared" si="2"/>
        <v>97542.38318395635</v>
      </c>
    </row>
    <row r="43" spans="1:8" x14ac:dyDescent="0.2">
      <c r="A43">
        <v>293.00831604003901</v>
      </c>
      <c r="B43">
        <v>1071.48547363281</v>
      </c>
      <c r="C43">
        <v>1.8832466404136201E-4</v>
      </c>
      <c r="D43" s="1">
        <v>3.7706988852044398E-7</v>
      </c>
      <c r="F43">
        <f t="shared" si="0"/>
        <v>1.8832466404136201E-7</v>
      </c>
      <c r="G43">
        <f t="shared" si="1"/>
        <v>85266.104789911202</v>
      </c>
      <c r="H43">
        <f t="shared" si="2"/>
        <v>116535.37622529408</v>
      </c>
    </row>
    <row r="44" spans="1:8" x14ac:dyDescent="0.2">
      <c r="A44">
        <v>293.00675964355497</v>
      </c>
      <c r="B44">
        <v>1319.22277832031</v>
      </c>
      <c r="C44">
        <v>2.22336663376348E-4</v>
      </c>
      <c r="D44" s="1">
        <v>2.6394879482146001E-7</v>
      </c>
      <c r="F44">
        <f t="shared" si="0"/>
        <v>2.22336663376348E-7</v>
      </c>
      <c r="G44">
        <f t="shared" si="1"/>
        <v>104980.41310455049</v>
      </c>
      <c r="H44">
        <f t="shared" si="2"/>
        <v>137582.01479944555</v>
      </c>
    </row>
    <row r="45" spans="1:8" x14ac:dyDescent="0.2">
      <c r="A45">
        <v>293.00224304199202</v>
      </c>
      <c r="B45">
        <v>1624.61572265625</v>
      </c>
      <c r="C45">
        <v>2.5904337312591198E-4</v>
      </c>
      <c r="D45" s="1">
        <v>2.8092570106252102E-7</v>
      </c>
      <c r="F45">
        <f t="shared" si="0"/>
        <v>2.5904337312591201E-7</v>
      </c>
      <c r="G45">
        <f t="shared" si="1"/>
        <v>129282.81144277695</v>
      </c>
      <c r="H45">
        <f t="shared" si="2"/>
        <v>160296.14123866017</v>
      </c>
    </row>
    <row r="46" spans="1:8" x14ac:dyDescent="0.2">
      <c r="A46">
        <v>293.001708984375</v>
      </c>
      <c r="B46">
        <v>2001.6376953125</v>
      </c>
      <c r="C46">
        <v>2.9265607764230602E-4</v>
      </c>
      <c r="D46" s="1">
        <v>3.4310827076599199E-7</v>
      </c>
      <c r="F46">
        <f t="shared" si="0"/>
        <v>2.9265607764230602E-7</v>
      </c>
      <c r="G46">
        <f t="shared" si="1"/>
        <v>159285.26674402674</v>
      </c>
      <c r="H46">
        <f t="shared" si="2"/>
        <v>181095.69602192161</v>
      </c>
    </row>
    <row r="47" spans="1:8" x14ac:dyDescent="0.2">
      <c r="A47">
        <v>292.99951171875</v>
      </c>
      <c r="B47">
        <v>2464.37133789062</v>
      </c>
      <c r="C47">
        <v>3.1647620734977499E-4</v>
      </c>
      <c r="D47" s="1">
        <v>3.6171089023275801E-7</v>
      </c>
      <c r="F47">
        <f t="shared" si="0"/>
        <v>3.1647620734977499E-7</v>
      </c>
      <c r="G47">
        <f t="shared" si="1"/>
        <v>196108.44001963979</v>
      </c>
      <c r="H47">
        <f t="shared" si="2"/>
        <v>195835.60165948339</v>
      </c>
    </row>
    <row r="48" spans="1:8" x14ac:dyDescent="0.2">
      <c r="A48">
        <v>292.99818420410202</v>
      </c>
      <c r="B48">
        <v>3035.17944335937</v>
      </c>
      <c r="C48">
        <v>3.35808150438255E-4</v>
      </c>
      <c r="D48" s="1">
        <v>3.6099298103559001E-7</v>
      </c>
      <c r="F48">
        <f t="shared" si="0"/>
        <v>3.3580815043825501E-7</v>
      </c>
      <c r="G48">
        <f t="shared" si="1"/>
        <v>241531.90579077555</v>
      </c>
      <c r="H48">
        <f t="shared" si="2"/>
        <v>207798.21565085734</v>
      </c>
    </row>
    <row r="49" spans="1:8" x14ac:dyDescent="0.2">
      <c r="A49">
        <v>292.99595642089798</v>
      </c>
      <c r="B49">
        <v>3738.0142822265602</v>
      </c>
      <c r="C49">
        <v>3.52064907449124E-4</v>
      </c>
      <c r="D49" s="1">
        <v>3.0186611200038198E-7</v>
      </c>
      <c r="F49">
        <f t="shared" si="0"/>
        <v>3.5206490744912403E-7</v>
      </c>
      <c r="G49">
        <f t="shared" si="1"/>
        <v>297461.72518223012</v>
      </c>
      <c r="H49">
        <f t="shared" si="2"/>
        <v>217857.90328714444</v>
      </c>
    </row>
    <row r="50" spans="1:8" x14ac:dyDescent="0.2">
      <c r="A50">
        <v>292.99288940429699</v>
      </c>
      <c r="B50">
        <v>4603.4743652343795</v>
      </c>
      <c r="C50">
        <v>3.6501959672555402E-4</v>
      </c>
      <c r="D50" s="1">
        <v>3.5704388038529201E-7</v>
      </c>
      <c r="F50">
        <f t="shared" si="0"/>
        <v>3.6501959672555401E-7</v>
      </c>
      <c r="G50">
        <f t="shared" si="1"/>
        <v>366332.85031193838</v>
      </c>
      <c r="H50">
        <f t="shared" si="2"/>
        <v>225874.2701098086</v>
      </c>
    </row>
    <row r="51" spans="1:8" x14ac:dyDescent="0.2">
      <c r="A51">
        <v>292.99118041992199</v>
      </c>
      <c r="B51">
        <v>5669.70263671875</v>
      </c>
      <c r="C51">
        <v>3.7502800015043502E-4</v>
      </c>
      <c r="D51" s="1">
        <v>3.7716520894000399E-7</v>
      </c>
      <c r="F51">
        <f t="shared" si="0"/>
        <v>3.75028000150435E-7</v>
      </c>
      <c r="G51">
        <f t="shared" si="1"/>
        <v>451180.60024747084</v>
      </c>
      <c r="H51">
        <f t="shared" si="2"/>
        <v>232067.47408800267</v>
      </c>
    </row>
    <row r="52" spans="1:8" x14ac:dyDescent="0.2">
      <c r="A52">
        <v>292.98884582519503</v>
      </c>
      <c r="B52">
        <v>6981.74365234375</v>
      </c>
      <c r="C52">
        <v>3.8132978175032498E-4</v>
      </c>
      <c r="D52" s="1">
        <v>3.7499131301489301E-7</v>
      </c>
      <c r="F52">
        <f t="shared" si="0"/>
        <v>3.8132978175032496E-7</v>
      </c>
      <c r="G52">
        <f t="shared" si="1"/>
        <v>555589.50683548558</v>
      </c>
      <c r="H52">
        <f t="shared" si="2"/>
        <v>235967.01902212517</v>
      </c>
    </row>
    <row r="53" spans="1:8" x14ac:dyDescent="0.2">
      <c r="A53">
        <v>292.98973083496099</v>
      </c>
      <c r="B53">
        <v>8599.1591796875</v>
      </c>
      <c r="C53">
        <v>3.8472881429113201E-4</v>
      </c>
      <c r="D53" s="1">
        <v>4.0514369325809098E-7</v>
      </c>
      <c r="F53">
        <f t="shared" si="0"/>
        <v>3.8472881429113202E-7</v>
      </c>
      <c r="G53">
        <f t="shared" si="1"/>
        <v>684299.3449406568</v>
      </c>
      <c r="H53">
        <f t="shared" si="2"/>
        <v>238070.3416960898</v>
      </c>
    </row>
    <row r="54" spans="1:8" x14ac:dyDescent="0.2">
      <c r="A54">
        <v>292.98785400390602</v>
      </c>
      <c r="B54">
        <v>10590.146484375</v>
      </c>
      <c r="C54">
        <v>3.8368912706942301E-4</v>
      </c>
      <c r="D54" s="1">
        <v>3.6574669881061698E-7</v>
      </c>
      <c r="F54">
        <f t="shared" si="0"/>
        <v>3.8368912706942301E-7</v>
      </c>
      <c r="G54">
        <f t="shared" si="1"/>
        <v>842737.08052776929</v>
      </c>
      <c r="H54">
        <f t="shared" si="2"/>
        <v>237426.98283412002</v>
      </c>
    </row>
    <row r="55" spans="1:8" x14ac:dyDescent="0.2">
      <c r="A55">
        <v>292.98382568359398</v>
      </c>
      <c r="B55">
        <v>13041.034667968799</v>
      </c>
      <c r="C55">
        <v>3.7846687594754301E-4</v>
      </c>
      <c r="D55" s="1">
        <v>4.0322582917559401E-7</v>
      </c>
      <c r="F55">
        <f t="shared" si="0"/>
        <v>3.7846687594754301E-7</v>
      </c>
      <c r="G55">
        <f t="shared" si="1"/>
        <v>1037772.5652200042</v>
      </c>
      <c r="H55">
        <f t="shared" si="2"/>
        <v>234195.45178464692</v>
      </c>
    </row>
    <row r="56" spans="1:8" x14ac:dyDescent="0.2">
      <c r="A56">
        <v>292.98443603515602</v>
      </c>
      <c r="B56">
        <v>16060.87890625</v>
      </c>
      <c r="C56">
        <v>3.6720791407499699E-4</v>
      </c>
      <c r="D56" s="1">
        <v>4.9039038863626803E-7</v>
      </c>
      <c r="F56">
        <f t="shared" si="0"/>
        <v>3.6720791407499701E-7</v>
      </c>
      <c r="G56">
        <f t="shared" si="1"/>
        <v>1278084.1341650204</v>
      </c>
      <c r="H56">
        <f t="shared" si="2"/>
        <v>227228.40174687165</v>
      </c>
    </row>
    <row r="57" spans="1:8" x14ac:dyDescent="0.2">
      <c r="A57">
        <v>292.98187255859398</v>
      </c>
      <c r="B57">
        <v>19779.6162109375</v>
      </c>
      <c r="C57">
        <v>3.49293189324628E-4</v>
      </c>
      <c r="D57" s="1">
        <v>4.6696033187119502E-7</v>
      </c>
      <c r="F57">
        <f t="shared" si="0"/>
        <v>3.4929318932462802E-7</v>
      </c>
      <c r="G57">
        <f t="shared" si="1"/>
        <v>1574011.8462156442</v>
      </c>
      <c r="H57">
        <f t="shared" si="2"/>
        <v>216142.76302087709</v>
      </c>
    </row>
    <row r="58" spans="1:8" x14ac:dyDescent="0.2">
      <c r="A58">
        <v>292.981689453125</v>
      </c>
      <c r="B58">
        <v>24359.3837890625</v>
      </c>
      <c r="C58">
        <v>3.2271584659855499E-4</v>
      </c>
      <c r="D58" s="1">
        <v>5.2484094418740097E-7</v>
      </c>
      <c r="F58">
        <f t="shared" si="0"/>
        <v>3.2271584659855497E-7</v>
      </c>
      <c r="G58">
        <f t="shared" si="1"/>
        <v>1938458.17035094</v>
      </c>
      <c r="H58">
        <f t="shared" si="2"/>
        <v>199696.69288228248</v>
      </c>
    </row>
    <row r="59" spans="1:8" x14ac:dyDescent="0.2">
      <c r="A59">
        <v>292.97975158691401</v>
      </c>
      <c r="B59">
        <v>29999.5234375</v>
      </c>
      <c r="C59">
        <v>2.8529379687420101E-4</v>
      </c>
      <c r="D59" s="1">
        <v>6.0662360925984295E-7</v>
      </c>
      <c r="F59">
        <f t="shared" si="0"/>
        <v>2.8529379687420099E-7</v>
      </c>
      <c r="G59">
        <f t="shared" si="1"/>
        <v>2387286.2227396467</v>
      </c>
      <c r="H59">
        <f t="shared" si="2"/>
        <v>176539.91378514073</v>
      </c>
    </row>
    <row r="60" spans="1:8" x14ac:dyDescent="0.2">
      <c r="A60">
        <v>292.97889709472702</v>
      </c>
      <c r="B60">
        <v>24359.40234375</v>
      </c>
      <c r="C60">
        <v>3.2304579729394001E-4</v>
      </c>
      <c r="D60" s="1">
        <v>7.1004347606914704E-7</v>
      </c>
      <c r="F60">
        <f t="shared" si="0"/>
        <v>3.2304579729393999E-7</v>
      </c>
      <c r="G60">
        <f t="shared" si="1"/>
        <v>1938459.6468860565</v>
      </c>
      <c r="H60">
        <f t="shared" si="2"/>
        <v>199900.86650244115</v>
      </c>
    </row>
    <row r="61" spans="1:8" x14ac:dyDescent="0.2">
      <c r="A61">
        <v>292.97790527343801</v>
      </c>
      <c r="B61">
        <v>19779.48046875</v>
      </c>
      <c r="C61">
        <v>3.4969442611119001E-4</v>
      </c>
      <c r="D61" s="1">
        <v>6.7277729377427096E-7</v>
      </c>
      <c r="F61">
        <f t="shared" si="0"/>
        <v>3.4969442611119003E-7</v>
      </c>
      <c r="G61">
        <f t="shared" si="1"/>
        <v>1574001.0441955808</v>
      </c>
      <c r="H61">
        <f t="shared" si="2"/>
        <v>216391.04850231123</v>
      </c>
    </row>
    <row r="62" spans="1:8" x14ac:dyDescent="0.2">
      <c r="A62">
        <v>292.977294921875</v>
      </c>
      <c r="B62">
        <v>16061.177734375</v>
      </c>
      <c r="C62">
        <v>3.6797017601928098E-4</v>
      </c>
      <c r="D62" s="1">
        <v>4.9815027649768002E-7</v>
      </c>
      <c r="F62">
        <f t="shared" si="0"/>
        <v>3.6797017601928099E-7</v>
      </c>
      <c r="G62">
        <f t="shared" si="1"/>
        <v>1278107.9141516348</v>
      </c>
      <c r="H62">
        <f t="shared" si="2"/>
        <v>227700.08973798814</v>
      </c>
    </row>
    <row r="63" spans="1:8" x14ac:dyDescent="0.2">
      <c r="A63">
        <v>292.97763061523398</v>
      </c>
      <c r="B63">
        <v>13041.48828125</v>
      </c>
      <c r="C63">
        <v>3.79506601815249E-4</v>
      </c>
      <c r="D63" s="1">
        <v>4.7305969285740902E-7</v>
      </c>
      <c r="F63">
        <f t="shared" si="0"/>
        <v>3.7950660181524898E-7</v>
      </c>
      <c r="G63">
        <f t="shared" si="1"/>
        <v>1037808.6626179819</v>
      </c>
      <c r="H63">
        <f t="shared" si="2"/>
        <v>234838.83456077482</v>
      </c>
    </row>
    <row r="64" spans="1:8" x14ac:dyDescent="0.2">
      <c r="A64">
        <v>292.97798156738298</v>
      </c>
      <c r="B64">
        <v>10589.51953125</v>
      </c>
      <c r="C64">
        <v>3.8500447739823199E-4</v>
      </c>
      <c r="D64" s="1">
        <v>4.3518799717877102E-7</v>
      </c>
      <c r="F64">
        <f t="shared" si="0"/>
        <v>3.8500447739823197E-7</v>
      </c>
      <c r="G64">
        <f t="shared" si="1"/>
        <v>842687.18918330397</v>
      </c>
      <c r="H64">
        <f t="shared" si="2"/>
        <v>238240.92213525239</v>
      </c>
    </row>
    <row r="65" spans="1:8" x14ac:dyDescent="0.2">
      <c r="A65">
        <v>292.97756958007801</v>
      </c>
      <c r="B65">
        <v>8598.94140625</v>
      </c>
      <c r="C65">
        <v>3.8615205928177102E-4</v>
      </c>
      <c r="D65" s="1">
        <v>4.1630047192739801E-7</v>
      </c>
      <c r="F65">
        <f t="shared" si="0"/>
        <v>3.8615205928177102E-7</v>
      </c>
      <c r="G65">
        <f t="shared" si="1"/>
        <v>684282.01508113067</v>
      </c>
      <c r="H65">
        <f t="shared" si="2"/>
        <v>238951.0462564253</v>
      </c>
    </row>
    <row r="66" spans="1:8" x14ac:dyDescent="0.2">
      <c r="A66">
        <v>292.97731018066401</v>
      </c>
      <c r="B66">
        <v>6981.8981933593795</v>
      </c>
      <c r="C66">
        <v>3.8365359381018198E-4</v>
      </c>
      <c r="D66" s="1">
        <v>3.7754763209219401E-7</v>
      </c>
      <c r="F66">
        <f t="shared" si="0"/>
        <v>3.8365359381018197E-7</v>
      </c>
      <c r="G66">
        <f t="shared" si="1"/>
        <v>555601.80481875944</v>
      </c>
      <c r="H66">
        <f t="shared" si="2"/>
        <v>237404.99483931731</v>
      </c>
    </row>
    <row r="67" spans="1:8" x14ac:dyDescent="0.2">
      <c r="A67">
        <v>292.97746276855497</v>
      </c>
      <c r="B67">
        <v>5669.17626953125</v>
      </c>
      <c r="C67">
        <v>3.7770306290797702E-4</v>
      </c>
      <c r="D67" s="1">
        <v>3.4346760451373002E-7</v>
      </c>
      <c r="F67">
        <f t="shared" si="0"/>
        <v>3.7770306290797701E-7</v>
      </c>
      <c r="G67">
        <f t="shared" si="1"/>
        <v>451138.71327758481</v>
      </c>
      <c r="H67">
        <f t="shared" si="2"/>
        <v>233722.80397515948</v>
      </c>
    </row>
    <row r="68" spans="1:8" x14ac:dyDescent="0.2">
      <c r="A68">
        <v>292.97615051269503</v>
      </c>
      <c r="B68">
        <v>4603.3562011718795</v>
      </c>
      <c r="C68">
        <v>3.69340283807367E-4</v>
      </c>
      <c r="D68" s="1">
        <v>3.7001321104197299E-7</v>
      </c>
      <c r="F68">
        <f t="shared" si="0"/>
        <v>3.6934028380736699E-7</v>
      </c>
      <c r="G68">
        <f t="shared" si="1"/>
        <v>366323.44711461704</v>
      </c>
      <c r="H68">
        <f t="shared" si="2"/>
        <v>228547.91297647133</v>
      </c>
    </row>
    <row r="69" spans="1:8" x14ac:dyDescent="0.2">
      <c r="A69">
        <v>292.97596740722702</v>
      </c>
      <c r="B69">
        <v>3737.92358398438</v>
      </c>
      <c r="C69">
        <v>3.5838845510408502E-4</v>
      </c>
      <c r="D69" s="1">
        <v>3.6989032957683501E-7</v>
      </c>
      <c r="F69">
        <f t="shared" si="0"/>
        <v>3.5838845510408503E-7</v>
      </c>
      <c r="G69">
        <f t="shared" si="1"/>
        <v>297454.50764544372</v>
      </c>
      <c r="H69">
        <f t="shared" si="2"/>
        <v>221770.91706471104</v>
      </c>
    </row>
    <row r="70" spans="1:8" x14ac:dyDescent="0.2">
      <c r="A70">
        <v>292.97654724121099</v>
      </c>
      <c r="B70">
        <v>3035.07055664063</v>
      </c>
      <c r="C70">
        <v>3.4406293501470798E-4</v>
      </c>
      <c r="D70" s="1">
        <v>3.1863048383553399E-7</v>
      </c>
      <c r="F70">
        <f t="shared" si="0"/>
        <v>3.4406293501470796E-7</v>
      </c>
      <c r="G70">
        <f t="shared" si="1"/>
        <v>241523.2408610133</v>
      </c>
      <c r="H70">
        <f t="shared" si="2"/>
        <v>212906.27959549509</v>
      </c>
    </row>
    <row r="71" spans="1:8" x14ac:dyDescent="0.2">
      <c r="A71">
        <v>292.97488403320301</v>
      </c>
      <c r="B71">
        <v>2464.1805419921898</v>
      </c>
      <c r="C71">
        <v>3.2700298936444699E-4</v>
      </c>
      <c r="D71" s="1">
        <v>3.0253192175191102E-7</v>
      </c>
      <c r="F71">
        <f t="shared" si="0"/>
        <v>3.2700298936444698E-7</v>
      </c>
      <c r="G71">
        <f t="shared" si="1"/>
        <v>196093.25696446138</v>
      </c>
      <c r="H71">
        <f t="shared" si="2"/>
        <v>202349.5785130517</v>
      </c>
    </row>
    <row r="72" spans="1:8" x14ac:dyDescent="0.2">
      <c r="A72">
        <v>292.97721862792997</v>
      </c>
      <c r="B72">
        <v>2000.97485351562</v>
      </c>
      <c r="C72">
        <v>3.0844526242827802E-4</v>
      </c>
      <c r="D72" s="1">
        <v>3.6419287268835501E-7</v>
      </c>
      <c r="F72">
        <f t="shared" si="0"/>
        <v>3.0844526242827802E-7</v>
      </c>
      <c r="G72">
        <f t="shared" si="1"/>
        <v>159232.51946979607</v>
      </c>
      <c r="H72">
        <f t="shared" si="2"/>
        <v>190866.04978142609</v>
      </c>
    </row>
    <row r="73" spans="1:8" x14ac:dyDescent="0.2">
      <c r="A73">
        <v>292.97717285156199</v>
      </c>
      <c r="B73">
        <v>1624.60656738281</v>
      </c>
      <c r="C73">
        <v>2.8334997092787099E-4</v>
      </c>
      <c r="D73" s="1">
        <v>3.7765954405501198E-7</v>
      </c>
      <c r="F73">
        <f t="shared" ref="F73:F136" si="3">C73/1000</f>
        <v>2.8334997092787097E-7</v>
      </c>
      <c r="G73">
        <f t="shared" ref="G73:G136" si="4">(B73*1000)/(4*PI())</f>
        <v>129282.08288926528</v>
      </c>
      <c r="H73">
        <f t="shared" ref="H73:H136" si="5">F73/$G$4</f>
        <v>175337.0735245453</v>
      </c>
    </row>
    <row r="74" spans="1:8" x14ac:dyDescent="0.2">
      <c r="A74">
        <v>292.97535705566401</v>
      </c>
      <c r="B74">
        <v>1319.1592407226599</v>
      </c>
      <c r="C74">
        <v>2.5455680408229301E-4</v>
      </c>
      <c r="D74" s="1">
        <v>3.2662345808395901E-7</v>
      </c>
      <c r="F74">
        <f t="shared" si="3"/>
        <v>2.5455680408229303E-7</v>
      </c>
      <c r="G74">
        <f t="shared" si="4"/>
        <v>104975.35694318141</v>
      </c>
      <c r="H74">
        <f t="shared" si="5"/>
        <v>157519.85054874787</v>
      </c>
    </row>
    <row r="75" spans="1:8" x14ac:dyDescent="0.2">
      <c r="A75">
        <v>292.97694396972702</v>
      </c>
      <c r="B75">
        <v>1071.1768188476599</v>
      </c>
      <c r="C75">
        <v>2.26305340751188E-4</v>
      </c>
      <c r="D75" s="1">
        <v>3.3174200578310102E-7</v>
      </c>
      <c r="F75">
        <f t="shared" si="3"/>
        <v>2.26305340751188E-7</v>
      </c>
      <c r="G75">
        <f t="shared" si="4"/>
        <v>85241.542822528398</v>
      </c>
      <c r="H75">
        <f t="shared" si="5"/>
        <v>140037.83392089751</v>
      </c>
    </row>
    <row r="76" spans="1:8" x14ac:dyDescent="0.2">
      <c r="A76">
        <v>292.97840881347702</v>
      </c>
      <c r="B76">
        <v>869.81817626953102</v>
      </c>
      <c r="C76">
        <v>2.0320537945566099E-4</v>
      </c>
      <c r="D76" s="1">
        <v>2.8868432134596899E-7</v>
      </c>
      <c r="F76">
        <f t="shared" si="3"/>
        <v>2.03205379455661E-7</v>
      </c>
      <c r="G76">
        <f t="shared" si="4"/>
        <v>69217.931172236698</v>
      </c>
      <c r="H76">
        <f t="shared" si="5"/>
        <v>125743.56878007276</v>
      </c>
    </row>
    <row r="77" spans="1:8" x14ac:dyDescent="0.2">
      <c r="A77">
        <v>292.97715759277298</v>
      </c>
      <c r="B77">
        <v>705.81301879882801</v>
      </c>
      <c r="C77">
        <v>1.82849537311551E-4</v>
      </c>
      <c r="D77" s="1">
        <v>3.7042355625050802E-7</v>
      </c>
      <c r="F77">
        <f t="shared" si="3"/>
        <v>1.8284953731155101E-7</v>
      </c>
      <c r="G77">
        <f t="shared" si="4"/>
        <v>56166.815420223167</v>
      </c>
      <c r="H77">
        <f t="shared" si="5"/>
        <v>113147.36565011232</v>
      </c>
    </row>
    <row r="78" spans="1:8" x14ac:dyDescent="0.2">
      <c r="A78">
        <v>292.97608947753901</v>
      </c>
      <c r="B78">
        <v>573.24157714843795</v>
      </c>
      <c r="C78">
        <v>1.65405781036464E-4</v>
      </c>
      <c r="D78" s="1">
        <v>3.10637540522499E-7</v>
      </c>
      <c r="F78">
        <f t="shared" si="3"/>
        <v>1.6540578103646399E-7</v>
      </c>
      <c r="G78">
        <f t="shared" si="4"/>
        <v>45617.115294483992</v>
      </c>
      <c r="H78">
        <f t="shared" si="5"/>
        <v>102353.16240197519</v>
      </c>
    </row>
    <row r="79" spans="1:8" x14ac:dyDescent="0.2">
      <c r="A79">
        <v>292.97589111328102</v>
      </c>
      <c r="B79">
        <v>465.13966369628901</v>
      </c>
      <c r="C79">
        <v>1.49848292197977E-4</v>
      </c>
      <c r="D79" s="1">
        <v>3.1019119731869001E-7</v>
      </c>
      <c r="F79">
        <f t="shared" si="3"/>
        <v>1.4984829219797699E-7</v>
      </c>
      <c r="G79">
        <f t="shared" si="4"/>
        <v>37014.638352683105</v>
      </c>
      <c r="H79">
        <f t="shared" si="5"/>
        <v>92726.182185960031</v>
      </c>
    </row>
    <row r="80" spans="1:8" x14ac:dyDescent="0.2">
      <c r="A80">
        <v>292.97650146484398</v>
      </c>
      <c r="B80">
        <v>377.69387817382801</v>
      </c>
      <c r="C80">
        <v>1.3628172135162801E-4</v>
      </c>
      <c r="D80" s="1">
        <v>3.0711656426421101E-7</v>
      </c>
      <c r="F80">
        <f t="shared" si="3"/>
        <v>1.3628172135162802E-7</v>
      </c>
      <c r="G80">
        <f t="shared" si="4"/>
        <v>30055.923843456425</v>
      </c>
      <c r="H80">
        <f t="shared" si="5"/>
        <v>84331.182807019679</v>
      </c>
    </row>
    <row r="81" spans="1:8" x14ac:dyDescent="0.2">
      <c r="A81">
        <v>292.97581481933599</v>
      </c>
      <c r="B81">
        <v>306.77299499511702</v>
      </c>
      <c r="C81">
        <v>1.2609622680402499E-4</v>
      </c>
      <c r="D81" s="1">
        <v>3.4671806089813098E-7</v>
      </c>
      <c r="F81">
        <f t="shared" si="3"/>
        <v>1.26096226804025E-7</v>
      </c>
      <c r="G81">
        <f t="shared" si="4"/>
        <v>24412.219280289071</v>
      </c>
      <c r="H81">
        <f t="shared" si="5"/>
        <v>78028.394772389744</v>
      </c>
    </row>
    <row r="82" spans="1:8" x14ac:dyDescent="0.2">
      <c r="A82">
        <v>292.978515625</v>
      </c>
      <c r="B82">
        <v>248.74516296386699</v>
      </c>
      <c r="C82">
        <v>1.16630941854831E-4</v>
      </c>
      <c r="D82" s="1">
        <v>2.9670467174865399E-7</v>
      </c>
      <c r="F82">
        <f t="shared" si="3"/>
        <v>1.16630941854831E-7</v>
      </c>
      <c r="G82">
        <f t="shared" si="4"/>
        <v>19794.511127949241</v>
      </c>
      <c r="H82">
        <f t="shared" si="5"/>
        <v>72171.272720698864</v>
      </c>
    </row>
    <row r="83" spans="1:8" x14ac:dyDescent="0.2">
      <c r="A83">
        <v>292.97821044921898</v>
      </c>
      <c r="B83">
        <v>202.15765380859401</v>
      </c>
      <c r="C83">
        <v>1.0750029531555901E-4</v>
      </c>
      <c r="D83" s="1">
        <v>2.9916448783587801E-7</v>
      </c>
      <c r="F83">
        <f t="shared" si="3"/>
        <v>1.07500295315559E-7</v>
      </c>
      <c r="G83">
        <f t="shared" si="4"/>
        <v>16087.194943748929</v>
      </c>
      <c r="H83">
        <f t="shared" si="5"/>
        <v>66521.225048767039</v>
      </c>
    </row>
    <row r="84" spans="1:8" x14ac:dyDescent="0.2">
      <c r="A84">
        <v>292.97763061523398</v>
      </c>
      <c r="B84">
        <v>163.950630187988</v>
      </c>
      <c r="C84">
        <v>1.01326770023849E-4</v>
      </c>
      <c r="D84" s="1">
        <v>3.2938940231500199E-7</v>
      </c>
      <c r="F84">
        <f t="shared" si="3"/>
        <v>1.01326770023849E-7</v>
      </c>
      <c r="G84">
        <f t="shared" si="4"/>
        <v>13046.776608724804</v>
      </c>
      <c r="H84">
        <f t="shared" si="5"/>
        <v>62701.045168622484</v>
      </c>
    </row>
    <row r="85" spans="1:8" x14ac:dyDescent="0.2">
      <c r="A85">
        <v>292.97721862792997</v>
      </c>
      <c r="B85">
        <v>132.90742492675801</v>
      </c>
      <c r="C85" s="1">
        <v>9.4201401789285194E-5</v>
      </c>
      <c r="D85" s="1">
        <v>3.6196857580452198E-7</v>
      </c>
      <c r="F85">
        <f t="shared" si="3"/>
        <v>9.4201401789285189E-8</v>
      </c>
      <c r="G85">
        <f t="shared" si="4"/>
        <v>10576.436825354262</v>
      </c>
      <c r="H85">
        <f t="shared" si="5"/>
        <v>58291.864500835494</v>
      </c>
    </row>
    <row r="86" spans="1:8" x14ac:dyDescent="0.2">
      <c r="A86">
        <v>292.97720336914102</v>
      </c>
      <c r="B86">
        <v>107.893077850342</v>
      </c>
      <c r="C86" s="1">
        <v>8.9861711883390004E-5</v>
      </c>
      <c r="D86" s="1">
        <v>3.0863608473976901E-7</v>
      </c>
      <c r="F86">
        <f t="shared" si="3"/>
        <v>8.9861711883390008E-8</v>
      </c>
      <c r="G86">
        <f t="shared" si="4"/>
        <v>8585.8583326403077</v>
      </c>
      <c r="H86">
        <f t="shared" si="5"/>
        <v>55606.462679151999</v>
      </c>
    </row>
    <row r="87" spans="1:8" x14ac:dyDescent="0.2">
      <c r="A87">
        <v>292.97541809082003</v>
      </c>
      <c r="B87">
        <v>87.454864501953097</v>
      </c>
      <c r="C87" s="1">
        <v>8.4756925444553902E-5</v>
      </c>
      <c r="D87" s="1">
        <v>3.1687344573684397E-7</v>
      </c>
      <c r="F87">
        <f t="shared" si="3"/>
        <v>8.4756925444553902E-8</v>
      </c>
      <c r="G87">
        <f t="shared" si="4"/>
        <v>6959.4369914588815</v>
      </c>
      <c r="H87">
        <f t="shared" si="5"/>
        <v>52447.618821775519</v>
      </c>
    </row>
    <row r="88" spans="1:8" x14ac:dyDescent="0.2">
      <c r="A88">
        <v>292.97737121582003</v>
      </c>
      <c r="B88">
        <v>70.875480651855497</v>
      </c>
      <c r="C88" s="1">
        <v>8.1502130800719099E-5</v>
      </c>
      <c r="D88" s="1">
        <v>2.7911928986748698E-7</v>
      </c>
      <c r="F88">
        <f t="shared" si="3"/>
        <v>8.1502130800719097E-8</v>
      </c>
      <c r="G88">
        <f t="shared" si="4"/>
        <v>5640.0915448783953</v>
      </c>
      <c r="H88">
        <f t="shared" si="5"/>
        <v>50433.550615223161</v>
      </c>
    </row>
    <row r="89" spans="1:8" x14ac:dyDescent="0.2">
      <c r="A89">
        <v>292.977294921875</v>
      </c>
      <c r="B89">
        <v>57.492128372192397</v>
      </c>
      <c r="C89" s="1">
        <v>7.7714187773860596E-5</v>
      </c>
      <c r="D89" s="1">
        <v>3.82958710198397E-7</v>
      </c>
      <c r="F89">
        <f t="shared" si="3"/>
        <v>7.7714187773860597E-8</v>
      </c>
      <c r="G89">
        <f t="shared" si="4"/>
        <v>4575.0782096541116</v>
      </c>
      <c r="H89">
        <f t="shared" si="5"/>
        <v>48089.569979431442</v>
      </c>
    </row>
    <row r="90" spans="1:8" x14ac:dyDescent="0.2">
      <c r="A90">
        <v>292.97744750976602</v>
      </c>
      <c r="B90">
        <v>46.614751815795898</v>
      </c>
      <c r="C90" s="1">
        <v>7.3851594139717603E-5</v>
      </c>
      <c r="D90" s="1">
        <v>2.7669764400194702E-7</v>
      </c>
      <c r="F90">
        <f t="shared" si="3"/>
        <v>7.385159413971761E-8</v>
      </c>
      <c r="G90">
        <f t="shared" si="4"/>
        <v>3709.4840862429105</v>
      </c>
      <c r="H90">
        <f t="shared" si="5"/>
        <v>45699.395518472804</v>
      </c>
    </row>
    <row r="91" spans="1:8" x14ac:dyDescent="0.2">
      <c r="A91">
        <v>292.97711181640602</v>
      </c>
      <c r="B91">
        <v>37.753044128417997</v>
      </c>
      <c r="C91" s="1">
        <v>7.1605916556191095E-5</v>
      </c>
      <c r="D91" s="1">
        <v>3.1066222720531997E-7</v>
      </c>
      <c r="F91">
        <f t="shared" si="3"/>
        <v>7.1605916556191095E-8</v>
      </c>
      <c r="G91">
        <f t="shared" si="4"/>
        <v>3004.2917949020898</v>
      </c>
      <c r="H91">
        <f t="shared" si="5"/>
        <v>44309.76934598435</v>
      </c>
    </row>
    <row r="92" spans="1:8" x14ac:dyDescent="0.2">
      <c r="A92">
        <v>292.97697448730497</v>
      </c>
      <c r="B92">
        <v>30.462112426757798</v>
      </c>
      <c r="C92" s="1">
        <v>6.9714064268456093E-5</v>
      </c>
      <c r="D92" s="1">
        <v>3.3039330854046702E-7</v>
      </c>
      <c r="F92">
        <f t="shared" si="3"/>
        <v>6.97140642684561E-8</v>
      </c>
      <c r="G92">
        <f t="shared" si="4"/>
        <v>2424.0978848697778</v>
      </c>
      <c r="H92">
        <f t="shared" si="5"/>
        <v>43139.090405782132</v>
      </c>
    </row>
    <row r="93" spans="1:8" x14ac:dyDescent="0.2">
      <c r="A93">
        <v>292.97802734375</v>
      </c>
      <c r="B93">
        <v>24.542201995849599</v>
      </c>
      <c r="C93" s="1">
        <v>6.8136555060053597E-5</v>
      </c>
      <c r="D93" s="1">
        <v>3.4026597333186297E-7</v>
      </c>
      <c r="F93">
        <f t="shared" si="3"/>
        <v>6.8136555060053601E-8</v>
      </c>
      <c r="G93">
        <f t="shared" si="4"/>
        <v>1953.0063809996216</v>
      </c>
      <c r="H93">
        <f t="shared" si="5"/>
        <v>42162.927086782795</v>
      </c>
    </row>
    <row r="94" spans="1:8" x14ac:dyDescent="0.2">
      <c r="A94">
        <v>292.97784423828102</v>
      </c>
      <c r="B94">
        <v>19.829882621765101</v>
      </c>
      <c r="C94" s="1">
        <v>6.6585955117064107E-5</v>
      </c>
      <c r="D94" s="1">
        <v>3.3547893234394501E-7</v>
      </c>
      <c r="F94">
        <f t="shared" si="3"/>
        <v>6.6585955117064103E-8</v>
      </c>
      <c r="G94">
        <f t="shared" si="4"/>
        <v>1578.0119200929944</v>
      </c>
      <c r="H94">
        <f t="shared" si="5"/>
        <v>41203.415231811348</v>
      </c>
    </row>
    <row r="95" spans="1:8" x14ac:dyDescent="0.2">
      <c r="A95">
        <v>292.97735595703102</v>
      </c>
      <c r="B95">
        <v>16.079999923706101</v>
      </c>
      <c r="C95" s="1">
        <v>6.5158152888127304E-5</v>
      </c>
      <c r="D95" s="1">
        <v>3.0135052245214298E-7</v>
      </c>
      <c r="F95">
        <f t="shared" si="3"/>
        <v>6.5158152888127309E-8</v>
      </c>
      <c r="G95">
        <f t="shared" si="4"/>
        <v>1279.605736387563</v>
      </c>
      <c r="H95">
        <f t="shared" si="5"/>
        <v>40319.890650623631</v>
      </c>
    </row>
    <row r="96" spans="1:8" x14ac:dyDescent="0.2">
      <c r="A96">
        <v>292.97665405273398</v>
      </c>
      <c r="B96">
        <v>13.0020108222961</v>
      </c>
      <c r="C96" s="1">
        <v>6.4613198582258398E-5</v>
      </c>
      <c r="D96" s="1">
        <v>3.2221952448517598E-7</v>
      </c>
      <c r="F96">
        <f t="shared" si="3"/>
        <v>6.4613198582258403E-8</v>
      </c>
      <c r="G96">
        <f t="shared" si="4"/>
        <v>1034.6671462513716</v>
      </c>
      <c r="H96">
        <f t="shared" si="5"/>
        <v>39982.672711681342</v>
      </c>
    </row>
    <row r="97" spans="1:8" x14ac:dyDescent="0.2">
      <c r="A97">
        <v>292.97555541992199</v>
      </c>
      <c r="B97">
        <v>10.4415578842163</v>
      </c>
      <c r="C97" s="1">
        <v>6.3395370467801495E-5</v>
      </c>
      <c r="D97" s="1">
        <v>3.2357036156357302E-7</v>
      </c>
      <c r="F97">
        <f t="shared" si="3"/>
        <v>6.3395370467801499E-8</v>
      </c>
      <c r="G97">
        <f t="shared" si="4"/>
        <v>830.91277542658815</v>
      </c>
      <c r="H97">
        <f t="shared" si="5"/>
        <v>39229.080195170565</v>
      </c>
    </row>
    <row r="98" spans="1:8" x14ac:dyDescent="0.2">
      <c r="A98">
        <v>292.97734069824202</v>
      </c>
      <c r="B98">
        <v>8.2806100845336896</v>
      </c>
      <c r="C98" s="1">
        <v>6.3504707005146099E-5</v>
      </c>
      <c r="D98" s="1">
        <v>3.1095449020953398E-7</v>
      </c>
      <c r="F98">
        <f t="shared" si="3"/>
        <v>6.3504707005146103E-8</v>
      </c>
      <c r="G98">
        <f t="shared" si="4"/>
        <v>658.950013385067</v>
      </c>
      <c r="H98">
        <f t="shared" si="5"/>
        <v>39296.737687509572</v>
      </c>
    </row>
    <row r="99" spans="1:8" x14ac:dyDescent="0.2">
      <c r="A99">
        <v>292.97848510742199</v>
      </c>
      <c r="B99">
        <v>7.7993903160095197</v>
      </c>
      <c r="C99" s="1">
        <v>6.2771968982137095E-5</v>
      </c>
      <c r="D99" s="1">
        <v>3.4485497861092302E-7</v>
      </c>
      <c r="F99">
        <f t="shared" si="3"/>
        <v>6.2771968982137089E-8</v>
      </c>
      <c r="G99">
        <f t="shared" si="4"/>
        <v>620.65576094798735</v>
      </c>
      <c r="H99">
        <f t="shared" si="5"/>
        <v>38843.319110497381</v>
      </c>
    </row>
    <row r="100" spans="1:8" x14ac:dyDescent="0.2">
      <c r="A100">
        <v>292.97705078125</v>
      </c>
      <c r="B100">
        <v>5.2116997241973904</v>
      </c>
      <c r="C100" s="1">
        <v>6.1681741850855697E-5</v>
      </c>
      <c r="D100" s="1">
        <v>3.1606977179956301E-7</v>
      </c>
      <c r="F100">
        <f t="shared" si="3"/>
        <v>6.1681741850855696E-8</v>
      </c>
      <c r="G100">
        <f t="shared" si="4"/>
        <v>414.73388650834119</v>
      </c>
      <c r="H100">
        <f t="shared" si="5"/>
        <v>38168.686132593881</v>
      </c>
    </row>
    <row r="101" spans="1:8" x14ac:dyDescent="0.2">
      <c r="A101">
        <v>292.97814941406301</v>
      </c>
      <c r="B101">
        <v>5.2207791805267298</v>
      </c>
      <c r="C101" s="1">
        <v>6.1684652830475904E-5</v>
      </c>
      <c r="D101" s="1">
        <v>3.1466806163985198E-7</v>
      </c>
      <c r="F101">
        <f t="shared" si="3"/>
        <v>6.1684652830475909E-8</v>
      </c>
      <c r="G101">
        <f t="shared" si="4"/>
        <v>415.45640668604182</v>
      </c>
      <c r="H101">
        <f t="shared" si="5"/>
        <v>38170.487447928506</v>
      </c>
    </row>
    <row r="102" spans="1:8" x14ac:dyDescent="0.2">
      <c r="A102">
        <v>292.97714233398398</v>
      </c>
      <c r="B102">
        <v>3.51381146907806</v>
      </c>
      <c r="C102" s="1">
        <v>6.08749927009636E-5</v>
      </c>
      <c r="D102" s="1">
        <v>3.2631655590459701E-7</v>
      </c>
      <c r="F102">
        <f t="shared" si="3"/>
        <v>6.0874992700963603E-8</v>
      </c>
      <c r="G102">
        <f t="shared" si="4"/>
        <v>279.62023219838392</v>
      </c>
      <c r="H102">
        <f t="shared" si="5"/>
        <v>37669.469441138841</v>
      </c>
    </row>
    <row r="103" spans="1:8" x14ac:dyDescent="0.2">
      <c r="A103">
        <v>292.97569274902298</v>
      </c>
      <c r="B103">
        <v>3.3776171207428001</v>
      </c>
      <c r="C103" s="1">
        <v>6.1198566613844202E-5</v>
      </c>
      <c r="D103" s="1">
        <v>3.12044214870343E-7</v>
      </c>
      <c r="F103">
        <f t="shared" si="3"/>
        <v>6.1198566613844199E-8</v>
      </c>
      <c r="G103">
        <f t="shared" si="4"/>
        <v>268.78223031901587</v>
      </c>
      <c r="H103">
        <f t="shared" si="5"/>
        <v>37869.697105774147</v>
      </c>
    </row>
    <row r="104" spans="1:8" x14ac:dyDescent="0.2">
      <c r="A104">
        <v>292.97608947753901</v>
      </c>
      <c r="B104">
        <v>3.3776172399520901</v>
      </c>
      <c r="C104" s="1">
        <v>6.0937117570565299E-5</v>
      </c>
      <c r="D104" s="1">
        <v>3.7469057421883598E-7</v>
      </c>
      <c r="F104">
        <f t="shared" si="3"/>
        <v>6.0937117570565297E-8</v>
      </c>
      <c r="G104">
        <f t="shared" si="4"/>
        <v>268.78223980538974</v>
      </c>
      <c r="H104">
        <f t="shared" si="5"/>
        <v>37707.91233489805</v>
      </c>
    </row>
    <row r="105" spans="1:8" x14ac:dyDescent="0.2">
      <c r="A105">
        <v>292.97628784179699</v>
      </c>
      <c r="B105">
        <v>2.3334614038467398</v>
      </c>
      <c r="C105" s="1">
        <v>5.95772852171659E-5</v>
      </c>
      <c r="D105" s="1">
        <v>4.3708206831705399E-7</v>
      </c>
      <c r="F105">
        <f t="shared" si="3"/>
        <v>5.95772852171659E-8</v>
      </c>
      <c r="G105">
        <f t="shared" si="4"/>
        <v>185.69095846818104</v>
      </c>
      <c r="H105">
        <f t="shared" si="5"/>
        <v>36866.447539442888</v>
      </c>
    </row>
    <row r="106" spans="1:8" x14ac:dyDescent="0.2">
      <c r="A106">
        <v>292.97673034667997</v>
      </c>
      <c r="B106">
        <v>2.38793897628784</v>
      </c>
      <c r="C106" s="1">
        <v>5.9665836522867203E-5</v>
      </c>
      <c r="D106" s="1">
        <v>3.2345663394122902E-7</v>
      </c>
      <c r="F106">
        <f t="shared" si="3"/>
        <v>5.9665836522867205E-8</v>
      </c>
      <c r="G106">
        <f t="shared" si="4"/>
        <v>190.026145939005</v>
      </c>
      <c r="H106">
        <f t="shared" si="5"/>
        <v>36921.24312226085</v>
      </c>
    </row>
    <row r="107" spans="1:8" x14ac:dyDescent="0.2">
      <c r="A107">
        <v>292.97706604003901</v>
      </c>
      <c r="B107">
        <v>1.9611970186233501</v>
      </c>
      <c r="C107" s="1">
        <v>5.9551050746061697E-5</v>
      </c>
      <c r="D107" s="1">
        <v>2.7074153073700198E-7</v>
      </c>
      <c r="F107">
        <f t="shared" si="3"/>
        <v>5.9551050746061694E-8</v>
      </c>
      <c r="G107">
        <f t="shared" si="4"/>
        <v>156.06709994549703</v>
      </c>
      <c r="H107">
        <f t="shared" si="5"/>
        <v>36850.213638398847</v>
      </c>
    </row>
    <row r="108" spans="1:8" x14ac:dyDescent="0.2">
      <c r="A108">
        <v>292.97801208496099</v>
      </c>
      <c r="B108">
        <v>1.94303786754608</v>
      </c>
      <c r="C108" s="1">
        <v>6.0328650894347598E-5</v>
      </c>
      <c r="D108" s="1">
        <v>2.9402832381917101E-7</v>
      </c>
      <c r="F108">
        <f t="shared" si="3"/>
        <v>6.0328650894347597E-8</v>
      </c>
      <c r="G108">
        <f t="shared" si="4"/>
        <v>154.62204061734701</v>
      </c>
      <c r="H108">
        <f t="shared" si="5"/>
        <v>37331.392916188182</v>
      </c>
    </row>
    <row r="109" spans="1:8" x14ac:dyDescent="0.2">
      <c r="A109">
        <v>292.97798156738298</v>
      </c>
      <c r="B109">
        <v>-1.67972904443741</v>
      </c>
      <c r="C109" s="1">
        <v>5.85941429285303E-5</v>
      </c>
      <c r="D109" s="1">
        <v>3.6058493071752897E-7</v>
      </c>
      <c r="F109">
        <f t="shared" si="3"/>
        <v>5.8594142928530302E-8</v>
      </c>
      <c r="G109">
        <f t="shared" si="4"/>
        <v>-133.66859023861986</v>
      </c>
      <c r="H109">
        <f t="shared" si="5"/>
        <v>36258.078704312604</v>
      </c>
    </row>
    <row r="110" spans="1:8" x14ac:dyDescent="0.2">
      <c r="A110">
        <v>292.97746276855497</v>
      </c>
      <c r="B110">
        <v>-1.6343308687210101</v>
      </c>
      <c r="C110" s="1">
        <v>5.83808437550879E-5</v>
      </c>
      <c r="D110" s="1">
        <v>3.7274172888134801E-7</v>
      </c>
      <c r="F110">
        <f t="shared" si="3"/>
        <v>5.8380843755087903E-8</v>
      </c>
      <c r="G110">
        <f t="shared" si="4"/>
        <v>-130.05591820231012</v>
      </c>
      <c r="H110">
        <f t="shared" si="5"/>
        <v>36126.089091841051</v>
      </c>
    </row>
    <row r="111" spans="1:8" x14ac:dyDescent="0.2">
      <c r="A111">
        <v>292.97866821289102</v>
      </c>
      <c r="B111">
        <v>-1.4345793724060101</v>
      </c>
      <c r="C111" s="1">
        <v>5.8619648375024801E-5</v>
      </c>
      <c r="D111" s="1">
        <v>3.1863196893226901E-7</v>
      </c>
      <c r="F111">
        <f t="shared" si="3"/>
        <v>5.8619648375024802E-8</v>
      </c>
      <c r="G111">
        <f t="shared" si="4"/>
        <v>-114.16019918804274</v>
      </c>
      <c r="H111">
        <f t="shared" si="5"/>
        <v>36273.861484641246</v>
      </c>
    </row>
    <row r="112" spans="1:8" x14ac:dyDescent="0.2">
      <c r="A112">
        <v>292.97700500488298</v>
      </c>
      <c r="B112">
        <v>-1.69788825511932</v>
      </c>
      <c r="C112" s="1">
        <v>5.8801361120873102E-5</v>
      </c>
      <c r="D112" s="1">
        <v>3.4659504664186698E-7</v>
      </c>
      <c r="F112">
        <f t="shared" si="3"/>
        <v>5.8801361120873101E-8</v>
      </c>
      <c r="G112">
        <f t="shared" si="4"/>
        <v>-135.11365430995642</v>
      </c>
      <c r="H112">
        <f t="shared" si="5"/>
        <v>36386.305403286511</v>
      </c>
    </row>
    <row r="113" spans="1:8" x14ac:dyDescent="0.2">
      <c r="A113">
        <v>292.97737121582003</v>
      </c>
      <c r="B113">
        <v>-2.14278948307037</v>
      </c>
      <c r="C113" s="1">
        <v>5.8093164758494697E-5</v>
      </c>
      <c r="D113" s="1">
        <v>2.94201630273497E-7</v>
      </c>
      <c r="F113">
        <f t="shared" si="3"/>
        <v>5.80931647584947E-8</v>
      </c>
      <c r="G113">
        <f t="shared" si="4"/>
        <v>-170.51776911798828</v>
      </c>
      <c r="H113">
        <f t="shared" si="5"/>
        <v>35948.073215531083</v>
      </c>
    </row>
    <row r="114" spans="1:8" x14ac:dyDescent="0.2">
      <c r="A114">
        <v>292.97740173339798</v>
      </c>
      <c r="B114">
        <v>-2.71480524539948</v>
      </c>
      <c r="C114" s="1">
        <v>5.7533850296252997E-5</v>
      </c>
      <c r="D114" s="1">
        <v>3.1409909246443598E-7</v>
      </c>
      <c r="F114">
        <f t="shared" si="3"/>
        <v>5.7533850296252999E-8</v>
      </c>
      <c r="G114">
        <f t="shared" si="4"/>
        <v>-216.03733716856661</v>
      </c>
      <c r="H114">
        <f t="shared" si="5"/>
        <v>35601.969206173766</v>
      </c>
    </row>
    <row r="115" spans="1:8" x14ac:dyDescent="0.2">
      <c r="A115">
        <v>292.97807312011702</v>
      </c>
      <c r="B115">
        <v>-3.3231395483016999</v>
      </c>
      <c r="C115" s="1">
        <v>5.7209958850573201E-5</v>
      </c>
      <c r="D115" s="1">
        <v>2.7768204541354598E-7</v>
      </c>
      <c r="F115">
        <f t="shared" si="3"/>
        <v>5.7209958850573201E-8</v>
      </c>
      <c r="G115">
        <f t="shared" si="4"/>
        <v>-264.44704284819193</v>
      </c>
      <c r="H115">
        <f t="shared" si="5"/>
        <v>35401.545052117348</v>
      </c>
    </row>
    <row r="116" spans="1:8" x14ac:dyDescent="0.2">
      <c r="A116">
        <v>292.97746276855497</v>
      </c>
      <c r="B116">
        <v>-5.3842127323150599</v>
      </c>
      <c r="C116" s="1">
        <v>5.7447130618431097E-5</v>
      </c>
      <c r="D116" s="1">
        <v>3.4108961440747899E-7</v>
      </c>
      <c r="F116">
        <f t="shared" si="3"/>
        <v>5.7447130618431096E-8</v>
      </c>
      <c r="G116">
        <f t="shared" si="4"/>
        <v>-428.46203550313083</v>
      </c>
      <c r="H116">
        <f t="shared" si="5"/>
        <v>35548.307035408434</v>
      </c>
    </row>
    <row r="117" spans="1:8" x14ac:dyDescent="0.2">
      <c r="A117">
        <v>292.97605895996099</v>
      </c>
      <c r="B117">
        <v>-5.3478939533233598</v>
      </c>
      <c r="C117" s="1">
        <v>5.6967269177466197E-5</v>
      </c>
      <c r="D117" s="1">
        <v>3.9098008887719402E-7</v>
      </c>
      <c r="F117">
        <f t="shared" si="3"/>
        <v>5.69672691774662E-8</v>
      </c>
      <c r="G117">
        <f t="shared" si="4"/>
        <v>-425.57187890133525</v>
      </c>
      <c r="H117">
        <f t="shared" si="5"/>
        <v>35251.3685868865</v>
      </c>
    </row>
    <row r="118" spans="1:8" x14ac:dyDescent="0.2">
      <c r="A118">
        <v>292.97662353515602</v>
      </c>
      <c r="B118">
        <v>-7.7903108596801802</v>
      </c>
      <c r="C118" s="1">
        <v>5.73022810539662E-5</v>
      </c>
      <c r="D118" s="1">
        <v>3.3727400605639898E-7</v>
      </c>
      <c r="F118">
        <f t="shared" si="3"/>
        <v>5.7302281053966202E-8</v>
      </c>
      <c r="G118">
        <f t="shared" si="4"/>
        <v>-619.93324077028672</v>
      </c>
      <c r="H118">
        <f t="shared" si="5"/>
        <v>35458.674067910993</v>
      </c>
    </row>
    <row r="119" spans="1:8" x14ac:dyDescent="0.2">
      <c r="A119">
        <v>292.976318359375</v>
      </c>
      <c r="B119">
        <v>-9.4700393676757795</v>
      </c>
      <c r="C119" s="1">
        <v>5.69882014232114E-5</v>
      </c>
      <c r="D119" s="1">
        <v>3.1342381376039198E-7</v>
      </c>
      <c r="F119">
        <f t="shared" si="3"/>
        <v>5.6988201423211398E-8</v>
      </c>
      <c r="G119">
        <f t="shared" si="4"/>
        <v>-753.60178832022359</v>
      </c>
      <c r="H119">
        <f t="shared" si="5"/>
        <v>35264.321468791662</v>
      </c>
    </row>
    <row r="120" spans="1:8" x14ac:dyDescent="0.2">
      <c r="A120">
        <v>292.97695922851602</v>
      </c>
      <c r="B120">
        <v>-11.485713958740201</v>
      </c>
      <c r="C120" s="1">
        <v>5.6293493085928497E-5</v>
      </c>
      <c r="D120" s="1">
        <v>3.1405213604000198E-7</v>
      </c>
      <c r="F120">
        <f t="shared" si="3"/>
        <v>5.6293493085928496E-8</v>
      </c>
      <c r="G120">
        <f t="shared" si="4"/>
        <v>-914.00407573654218</v>
      </c>
      <c r="H120">
        <f t="shared" si="5"/>
        <v>34834.435676273642</v>
      </c>
    </row>
    <row r="121" spans="1:8" x14ac:dyDescent="0.2">
      <c r="A121">
        <v>292.97622680664102</v>
      </c>
      <c r="B121">
        <v>-14.1006436347961</v>
      </c>
      <c r="C121" s="1">
        <v>5.50598157940542E-5</v>
      </c>
      <c r="D121" s="1">
        <v>3.6330151902440999E-7</v>
      </c>
      <c r="F121">
        <f t="shared" si="3"/>
        <v>5.5059815794054201E-8</v>
      </c>
      <c r="G121">
        <f t="shared" si="4"/>
        <v>-1122.0935676275349</v>
      </c>
      <c r="H121">
        <f t="shared" si="5"/>
        <v>34071.035682539434</v>
      </c>
    </row>
    <row r="122" spans="1:8" x14ac:dyDescent="0.2">
      <c r="A122">
        <v>292.97668457031301</v>
      </c>
      <c r="B122">
        <v>-17.115076065063501</v>
      </c>
      <c r="C122" s="1">
        <v>5.47771744272647E-5</v>
      </c>
      <c r="D122" s="1">
        <v>3.6821030326416202E-7</v>
      </c>
      <c r="F122">
        <f t="shared" si="3"/>
        <v>5.4777174427264698E-8</v>
      </c>
      <c r="G122">
        <f t="shared" si="4"/>
        <v>-1361.9744785743208</v>
      </c>
      <c r="H122">
        <f t="shared" si="5"/>
        <v>33896.137093534584</v>
      </c>
    </row>
    <row r="123" spans="1:8" x14ac:dyDescent="0.2">
      <c r="A123">
        <v>292.97772216796898</v>
      </c>
      <c r="B123">
        <v>-21.119186401367202</v>
      </c>
      <c r="C123" s="1">
        <v>5.4136627615573998E-5</v>
      </c>
      <c r="D123" s="1">
        <v>3.4048807343709902E-7</v>
      </c>
      <c r="F123">
        <f t="shared" si="3"/>
        <v>5.4136627615573995E-8</v>
      </c>
      <c r="G123">
        <f t="shared" si="4"/>
        <v>-1680.6114549283634</v>
      </c>
      <c r="H123">
        <f t="shared" si="5"/>
        <v>33499.766474368662</v>
      </c>
    </row>
    <row r="124" spans="1:8" x14ac:dyDescent="0.2">
      <c r="A124">
        <v>292.97665405273398</v>
      </c>
      <c r="B124">
        <v>-25.8405876159668</v>
      </c>
      <c r="C124" s="1">
        <v>5.3800414132577799E-5</v>
      </c>
      <c r="D124" s="1">
        <v>3.6507323587913201E-7</v>
      </c>
      <c r="F124">
        <f t="shared" si="3"/>
        <v>5.38004141325778E-8</v>
      </c>
      <c r="G124">
        <f t="shared" si="4"/>
        <v>-2056.328625740166</v>
      </c>
      <c r="H124">
        <f t="shared" si="5"/>
        <v>33291.717438771433</v>
      </c>
    </row>
    <row r="125" spans="1:8" x14ac:dyDescent="0.2">
      <c r="A125">
        <v>292.97741699218801</v>
      </c>
      <c r="B125">
        <v>-31.5425863265991</v>
      </c>
      <c r="C125" s="1">
        <v>5.2338166317428701E-5</v>
      </c>
      <c r="D125" s="1">
        <v>3.75488370987731E-7</v>
      </c>
      <c r="F125">
        <f t="shared" si="3"/>
        <v>5.2338166317428702E-8</v>
      </c>
      <c r="G125">
        <f t="shared" si="4"/>
        <v>-2510.079265890538</v>
      </c>
      <c r="H125">
        <f t="shared" si="5"/>
        <v>32386.877915279234</v>
      </c>
    </row>
    <row r="126" spans="1:8" x14ac:dyDescent="0.2">
      <c r="A126">
        <v>292.97772216796898</v>
      </c>
      <c r="B126">
        <v>-38.8153591156006</v>
      </c>
      <c r="C126" s="1">
        <v>5.1534723191232002E-5</v>
      </c>
      <c r="D126" s="1">
        <v>3.06005531817348E-7</v>
      </c>
      <c r="F126">
        <f t="shared" si="3"/>
        <v>5.1534723191232E-8</v>
      </c>
      <c r="G126">
        <f t="shared" si="4"/>
        <v>-3088.8281355674471</v>
      </c>
      <c r="H126">
        <f t="shared" si="5"/>
        <v>31889.706992588006</v>
      </c>
    </row>
    <row r="127" spans="1:8" x14ac:dyDescent="0.2">
      <c r="A127">
        <v>292.97920227050798</v>
      </c>
      <c r="B127">
        <v>-47.522710800170898</v>
      </c>
      <c r="C127" s="1">
        <v>5.0017363963591801E-5</v>
      </c>
      <c r="D127" s="1">
        <v>3.4579629427327098E-7</v>
      </c>
      <c r="F127">
        <f t="shared" si="3"/>
        <v>5.0017363963591798E-8</v>
      </c>
      <c r="G127">
        <f t="shared" si="4"/>
        <v>-3781.7371664868997</v>
      </c>
      <c r="H127">
        <f t="shared" si="5"/>
        <v>30950.764505356827</v>
      </c>
    </row>
    <row r="128" spans="1:8" x14ac:dyDescent="0.2">
      <c r="A128">
        <v>292.97865295410202</v>
      </c>
      <c r="B128">
        <v>-58.654319763183601</v>
      </c>
      <c r="C128" s="1">
        <v>4.85911414142663E-5</v>
      </c>
      <c r="D128" s="1">
        <v>3.04184835508978E-7</v>
      </c>
      <c r="F128">
        <f t="shared" si="3"/>
        <v>4.8591141414266302E-8</v>
      </c>
      <c r="G128">
        <f t="shared" si="4"/>
        <v>-4667.5624620016588</v>
      </c>
      <c r="H128">
        <f t="shared" si="5"/>
        <v>30068.217430534271</v>
      </c>
    </row>
    <row r="129" spans="1:8" x14ac:dyDescent="0.2">
      <c r="A129">
        <v>292.97802734375</v>
      </c>
      <c r="B129">
        <v>-71.910560607910199</v>
      </c>
      <c r="C129" s="1">
        <v>4.5751735805287701E-5</v>
      </c>
      <c r="D129" s="1">
        <v>3.4656833724592899E-7</v>
      </c>
      <c r="F129">
        <f t="shared" si="3"/>
        <v>4.5751735805287699E-8</v>
      </c>
      <c r="G129">
        <f t="shared" si="4"/>
        <v>-5722.460590629119</v>
      </c>
      <c r="H129">
        <f t="shared" si="5"/>
        <v>28311.192122230215</v>
      </c>
    </row>
    <row r="130" spans="1:8" x14ac:dyDescent="0.2">
      <c r="A130">
        <v>292.97663879394503</v>
      </c>
      <c r="B130">
        <v>-88.589817047119098</v>
      </c>
      <c r="C130" s="1">
        <v>4.3383489649093903E-5</v>
      </c>
      <c r="D130" s="1">
        <v>3.2995457196269601E-7</v>
      </c>
      <c r="F130">
        <f t="shared" si="3"/>
        <v>4.33834896490939E-8</v>
      </c>
      <c r="G130">
        <f t="shared" si="4"/>
        <v>-7049.7536453278299</v>
      </c>
      <c r="H130">
        <f t="shared" si="5"/>
        <v>26845.72046873752</v>
      </c>
    </row>
    <row r="131" spans="1:8" x14ac:dyDescent="0.2">
      <c r="A131">
        <v>292.97756958007801</v>
      </c>
      <c r="B131">
        <v>-108.882755279541</v>
      </c>
      <c r="C131" s="1">
        <v>3.9197634852322999E-5</v>
      </c>
      <c r="D131" s="1">
        <v>2.95090795574511E-7</v>
      </c>
      <c r="F131">
        <f t="shared" si="3"/>
        <v>3.9197634852322999E-8</v>
      </c>
      <c r="G131">
        <f t="shared" si="4"/>
        <v>-8664.6143601020576</v>
      </c>
      <c r="H131">
        <f t="shared" si="5"/>
        <v>24255.511873123021</v>
      </c>
    </row>
    <row r="132" spans="1:8" x14ac:dyDescent="0.2">
      <c r="A132">
        <v>292.97763061523398</v>
      </c>
      <c r="B132">
        <v>-133.92433166503901</v>
      </c>
      <c r="C132" s="1">
        <v>3.5280793811495799E-5</v>
      </c>
      <c r="D132" s="1">
        <v>3.6465000441269E-7</v>
      </c>
      <c r="F132">
        <f t="shared" si="3"/>
        <v>3.5280793811495799E-8</v>
      </c>
      <c r="G132">
        <f t="shared" si="4"/>
        <v>-10657.3596923847</v>
      </c>
      <c r="H132">
        <f t="shared" si="5"/>
        <v>21831.769095558742</v>
      </c>
    </row>
    <row r="133" spans="1:8" x14ac:dyDescent="0.2">
      <c r="A133">
        <v>292.97659301757801</v>
      </c>
      <c r="B133">
        <v>-164.76779174804699</v>
      </c>
      <c r="C133" s="1">
        <v>2.8524521919997099E-5</v>
      </c>
      <c r="D133" s="1">
        <v>3.2308097932717601E-7</v>
      </c>
      <c r="F133">
        <f t="shared" si="3"/>
        <v>2.8524521919997098E-8</v>
      </c>
      <c r="G133">
        <f t="shared" si="4"/>
        <v>-13111.804259518842</v>
      </c>
      <c r="H133">
        <f t="shared" si="5"/>
        <v>17650.98539012091</v>
      </c>
    </row>
    <row r="134" spans="1:8" x14ac:dyDescent="0.2">
      <c r="A134">
        <v>292.97758483886702</v>
      </c>
      <c r="B134">
        <v>-203.01113891601599</v>
      </c>
      <c r="C134" s="1">
        <v>2.0044409515251099E-5</v>
      </c>
      <c r="D134" s="1">
        <v>2.9990659145335502E-7</v>
      </c>
      <c r="F134">
        <f t="shared" si="3"/>
        <v>2.00444095152511E-8</v>
      </c>
      <c r="G134">
        <f t="shared" si="4"/>
        <v>-16155.113130599693</v>
      </c>
      <c r="H134">
        <f t="shared" si="5"/>
        <v>12403.488496656064</v>
      </c>
    </row>
    <row r="135" spans="1:8" x14ac:dyDescent="0.2">
      <c r="A135">
        <v>292.97682189941401</v>
      </c>
      <c r="B135">
        <v>-249.907356262207</v>
      </c>
      <c r="C135" s="1">
        <v>9.5414544332639806E-6</v>
      </c>
      <c r="D135" s="1">
        <v>3.4858833212115701E-7</v>
      </c>
      <c r="F135">
        <f t="shared" si="3"/>
        <v>9.5414544332639799E-9</v>
      </c>
      <c r="G135">
        <f t="shared" si="4"/>
        <v>-19886.995532078785</v>
      </c>
      <c r="H135">
        <f t="shared" si="5"/>
        <v>5904.2557584104125</v>
      </c>
    </row>
    <row r="136" spans="1:8" x14ac:dyDescent="0.2">
      <c r="A136">
        <v>292.97814941406301</v>
      </c>
      <c r="B136">
        <v>-307.61740112304699</v>
      </c>
      <c r="C136" s="1">
        <v>-4.8085707183925903E-6</v>
      </c>
      <c r="D136" s="1">
        <v>3.0902198110699602E-7</v>
      </c>
      <c r="F136">
        <f t="shared" si="3"/>
        <v>-4.8085707183925899E-9</v>
      </c>
      <c r="G136">
        <f t="shared" si="4"/>
        <v>-24479.414984907642</v>
      </c>
      <c r="H136">
        <f t="shared" si="5"/>
        <v>-2975.5454529882427</v>
      </c>
    </row>
    <row r="137" spans="1:8" x14ac:dyDescent="0.2">
      <c r="A137">
        <v>292.97856140136702</v>
      </c>
      <c r="B137">
        <v>-378.692626953125</v>
      </c>
      <c r="C137" s="1">
        <v>-2.34401194735519E-5</v>
      </c>
      <c r="D137" s="1">
        <v>3.74782365045094E-7</v>
      </c>
      <c r="F137">
        <f t="shared" ref="F137:F200" si="6">C137/1000</f>
        <v>-2.3440119473551899E-8</v>
      </c>
      <c r="G137">
        <f t="shared" ref="G137:G200" si="7">(B137*1000)/(4*PI())</f>
        <v>-30135.401746022482</v>
      </c>
      <c r="H137">
        <f t="shared" ref="H137:H200" si="8">F137/$G$4</f>
        <v>-14504.755155258194</v>
      </c>
    </row>
    <row r="138" spans="1:8" x14ac:dyDescent="0.2">
      <c r="A138">
        <v>292.97732543945301</v>
      </c>
      <c r="B138">
        <v>-466.07485961914102</v>
      </c>
      <c r="C138" s="1">
        <v>-4.8913988290273902E-5</v>
      </c>
      <c r="D138" s="1">
        <v>3.3900112563355302E-7</v>
      </c>
      <c r="F138">
        <f t="shared" si="6"/>
        <v>-4.8913988290273903E-8</v>
      </c>
      <c r="G138">
        <f t="shared" si="7"/>
        <v>-37089.05887962375</v>
      </c>
      <c r="H138">
        <f t="shared" si="8"/>
        <v>-30267.995204466439</v>
      </c>
    </row>
    <row r="139" spans="1:8" x14ac:dyDescent="0.2">
      <c r="A139">
        <v>292.97772216796898</v>
      </c>
      <c r="B139">
        <v>-573.986083984375</v>
      </c>
      <c r="C139" s="1">
        <v>-7.7862941559997905E-5</v>
      </c>
      <c r="D139" s="1">
        <v>3.1409572459214198E-7</v>
      </c>
      <c r="F139">
        <f t="shared" si="6"/>
        <v>-7.7862941559997911E-8</v>
      </c>
      <c r="G139">
        <f t="shared" si="7"/>
        <v>-45676.361266036532</v>
      </c>
      <c r="H139">
        <f t="shared" si="8"/>
        <v>-48181.618880836315</v>
      </c>
    </row>
    <row r="140" spans="1:8" x14ac:dyDescent="0.2">
      <c r="A140">
        <v>292.97734069824202</v>
      </c>
      <c r="B140">
        <v>-706.81179809570301</v>
      </c>
      <c r="C140">
        <v>-1.1226254908751699E-4</v>
      </c>
      <c r="D140" s="1">
        <v>2.8331473784968098E-7</v>
      </c>
      <c r="F140">
        <f t="shared" si="6"/>
        <v>-1.1226254908751699E-7</v>
      </c>
      <c r="G140">
        <f t="shared" si="7"/>
        <v>-56246.295751300917</v>
      </c>
      <c r="H140">
        <f t="shared" si="8"/>
        <v>-69468.109557073185</v>
      </c>
    </row>
    <row r="141" spans="1:8" x14ac:dyDescent="0.2">
      <c r="A141">
        <v>292.97805786132801</v>
      </c>
      <c r="B141">
        <v>-870.38107299804699</v>
      </c>
      <c r="C141">
        <v>-1.4371273266400699E-4</v>
      </c>
      <c r="D141" s="1">
        <v>3.3538633646880202E-7</v>
      </c>
      <c r="F141">
        <f t="shared" si="6"/>
        <v>-1.4371273266400699E-7</v>
      </c>
      <c r="G141">
        <f t="shared" si="7"/>
        <v>-69262.725070633489</v>
      </c>
      <c r="H141">
        <f t="shared" si="8"/>
        <v>-88929.49553164668</v>
      </c>
    </row>
    <row r="142" spans="1:8" x14ac:dyDescent="0.2">
      <c r="A142">
        <v>292.97734069824202</v>
      </c>
      <c r="B142">
        <v>-1071.6126098632801</v>
      </c>
      <c r="C142">
        <v>-1.7974498398035701E-4</v>
      </c>
      <c r="D142" s="1">
        <v>3.3663656968780099E-7</v>
      </c>
      <c r="F142">
        <f t="shared" si="6"/>
        <v>-1.7974498398035701E-7</v>
      </c>
      <c r="G142">
        <f t="shared" si="7"/>
        <v>-85276.22196967389</v>
      </c>
      <c r="H142">
        <f t="shared" si="8"/>
        <v>-111226.26682695061</v>
      </c>
    </row>
    <row r="143" spans="1:8" x14ac:dyDescent="0.2">
      <c r="A143">
        <v>292.97666931152298</v>
      </c>
      <c r="B143">
        <v>-1319.86743164062</v>
      </c>
      <c r="C143">
        <v>-2.13980018102358E-4</v>
      </c>
      <c r="D143" s="1">
        <v>3.8834869978130202E-7</v>
      </c>
      <c r="F143">
        <f t="shared" si="6"/>
        <v>-2.13980018102358E-7</v>
      </c>
      <c r="G143">
        <f t="shared" si="7"/>
        <v>-105031.71298580448</v>
      </c>
      <c r="H143">
        <f t="shared" si="8"/>
        <v>-132410.91941508386</v>
      </c>
    </row>
    <row r="144" spans="1:8" x14ac:dyDescent="0.2">
      <c r="A144">
        <v>292.97648620605497</v>
      </c>
      <c r="B144">
        <v>-1625.40563964844</v>
      </c>
      <c r="C144">
        <v>-2.5241957019973702E-4</v>
      </c>
      <c r="D144" s="1">
        <v>3.3791883185983399E-7</v>
      </c>
      <c r="F144">
        <f t="shared" si="6"/>
        <v>-2.5241957019973699E-7</v>
      </c>
      <c r="G144">
        <f t="shared" si="7"/>
        <v>-129345.67103974661</v>
      </c>
      <c r="H144">
        <f t="shared" si="8"/>
        <v>-156197.32938109874</v>
      </c>
    </row>
    <row r="145" spans="1:8" x14ac:dyDescent="0.2">
      <c r="A145">
        <v>292.97663879394503</v>
      </c>
      <c r="B145">
        <v>-2001.56506347656</v>
      </c>
      <c r="C145">
        <v>-2.8793194375762902E-4</v>
      </c>
      <c r="D145" s="1">
        <v>3.3132008293935801E-7</v>
      </c>
      <c r="F145">
        <f t="shared" si="6"/>
        <v>-2.8793194375762901E-7</v>
      </c>
      <c r="G145">
        <f t="shared" si="7"/>
        <v>-159279.48688616889</v>
      </c>
      <c r="H145">
        <f t="shared" si="8"/>
        <v>-178172.40011486728</v>
      </c>
    </row>
    <row r="146" spans="1:8" x14ac:dyDescent="0.2">
      <c r="A146">
        <v>292.97845458984398</v>
      </c>
      <c r="B146">
        <v>-2464.86157226562</v>
      </c>
      <c r="C146">
        <v>-3.1292401636277102E-4</v>
      </c>
      <c r="D146" s="1">
        <v>3.2872458685062797E-7</v>
      </c>
      <c r="F146">
        <f t="shared" si="6"/>
        <v>-3.1292401636277101E-7</v>
      </c>
      <c r="G146">
        <f t="shared" si="7"/>
        <v>-196147.45163166721</v>
      </c>
      <c r="H146">
        <f t="shared" si="8"/>
        <v>-193637.50447873553</v>
      </c>
    </row>
    <row r="147" spans="1:8" x14ac:dyDescent="0.2">
      <c r="A147">
        <v>292.97645568847702</v>
      </c>
      <c r="B147">
        <v>-3035.67895507812</v>
      </c>
      <c r="C147">
        <v>-3.3219181276384903E-4</v>
      </c>
      <c r="D147" s="1">
        <v>2.9002469065130599E-7</v>
      </c>
      <c r="F147">
        <f t="shared" si="6"/>
        <v>-3.3219181276384904E-7</v>
      </c>
      <c r="G147">
        <f t="shared" si="7"/>
        <v>-241571.65567036124</v>
      </c>
      <c r="H147">
        <f t="shared" si="8"/>
        <v>-205560.42447469974</v>
      </c>
    </row>
    <row r="148" spans="1:8" x14ac:dyDescent="0.2">
      <c r="A148">
        <v>292.97814941406301</v>
      </c>
      <c r="B148">
        <v>-3738.1688232421898</v>
      </c>
      <c r="C148">
        <v>-3.5091816074647302E-4</v>
      </c>
      <c r="D148" s="1">
        <v>2.8232400124170801E-7</v>
      </c>
      <c r="F148">
        <f t="shared" si="6"/>
        <v>-3.50918160746473E-7</v>
      </c>
      <c r="G148">
        <f t="shared" si="7"/>
        <v>-297474.02316550404</v>
      </c>
      <c r="H148">
        <f t="shared" si="8"/>
        <v>-217148.29597623373</v>
      </c>
    </row>
    <row r="149" spans="1:8" x14ac:dyDescent="0.2">
      <c r="A149">
        <v>292.97752380371099</v>
      </c>
      <c r="B149">
        <v>-4603.73779296875</v>
      </c>
      <c r="C149">
        <v>-3.6429357748992899E-4</v>
      </c>
      <c r="D149" s="1">
        <v>3.5340690146876102E-7</v>
      </c>
      <c r="F149">
        <f t="shared" si="6"/>
        <v>-3.6429357748992899E-7</v>
      </c>
      <c r="G149">
        <f t="shared" si="7"/>
        <v>-366353.81322497461</v>
      </c>
      <c r="H149">
        <f t="shared" si="8"/>
        <v>-225425.00912107385</v>
      </c>
    </row>
    <row r="150" spans="1:8" x14ac:dyDescent="0.2">
      <c r="A150">
        <v>292.97717285156199</v>
      </c>
      <c r="B150">
        <v>-5669.5031738281205</v>
      </c>
      <c r="C150">
        <v>-3.7445767127437498E-4</v>
      </c>
      <c r="D150" s="1">
        <v>3.5583386668247702E-7</v>
      </c>
      <c r="F150">
        <f t="shared" si="6"/>
        <v>-3.7445767127437499E-7</v>
      </c>
      <c r="G150">
        <f t="shared" si="7"/>
        <v>-451164.72749496729</v>
      </c>
      <c r="H150">
        <f t="shared" si="8"/>
        <v>-231714.55435503979</v>
      </c>
    </row>
    <row r="151" spans="1:8" x14ac:dyDescent="0.2">
      <c r="A151">
        <v>292.97743225097702</v>
      </c>
      <c r="B151">
        <v>-6982.16162109375</v>
      </c>
      <c r="C151">
        <v>-3.8109473897112302E-4</v>
      </c>
      <c r="D151" s="1">
        <v>2.8820421700196898E-7</v>
      </c>
      <c r="F151">
        <f t="shared" si="6"/>
        <v>-3.8109473897112302E-7</v>
      </c>
      <c r="G151">
        <f t="shared" si="7"/>
        <v>-555622.76773179579</v>
      </c>
      <c r="H151">
        <f t="shared" si="8"/>
        <v>-235821.57445785226</v>
      </c>
    </row>
    <row r="152" spans="1:8" x14ac:dyDescent="0.2">
      <c r="A152">
        <v>292.97769165039102</v>
      </c>
      <c r="B152">
        <v>-8599.1591796875</v>
      </c>
      <c r="C152">
        <v>-3.84723097013764E-4</v>
      </c>
      <c r="D152" s="1">
        <v>3.24312580964316E-7</v>
      </c>
      <c r="F152">
        <f t="shared" si="6"/>
        <v>-3.84723097013764E-7</v>
      </c>
      <c r="G152">
        <f t="shared" si="7"/>
        <v>-684299.3449406568</v>
      </c>
      <c r="H152">
        <f t="shared" si="8"/>
        <v>-238066.80384260439</v>
      </c>
    </row>
    <row r="153" spans="1:8" x14ac:dyDescent="0.2">
      <c r="A153">
        <v>292.97833251953102</v>
      </c>
      <c r="B153">
        <v>-10589.5380859375</v>
      </c>
      <c r="C153">
        <v>-3.8400750964122599E-4</v>
      </c>
      <c r="D153" s="1">
        <v>3.5335852864044398E-7</v>
      </c>
      <c r="F153">
        <f t="shared" si="6"/>
        <v>-3.8400750964122599E-7</v>
      </c>
      <c r="G153">
        <f t="shared" si="7"/>
        <v>-842688.66571842053</v>
      </c>
      <c r="H153">
        <f t="shared" si="8"/>
        <v>-237623.99809485342</v>
      </c>
    </row>
    <row r="154" spans="1:8" x14ac:dyDescent="0.2">
      <c r="A154">
        <v>292.97889709472702</v>
      </c>
      <c r="B154">
        <v>-13041.089355468701</v>
      </c>
      <c r="C154">
        <v>-3.7837446607775398E-4</v>
      </c>
      <c r="D154" s="1">
        <v>3.8869409681945102E-7</v>
      </c>
      <c r="F154">
        <f t="shared" si="6"/>
        <v>-3.7837446607775399E-7</v>
      </c>
      <c r="G154">
        <f t="shared" si="7"/>
        <v>-1037776.9171129717</v>
      </c>
      <c r="H154">
        <f t="shared" si="8"/>
        <v>-234138.26852085293</v>
      </c>
    </row>
    <row r="155" spans="1:8" x14ac:dyDescent="0.2">
      <c r="A155">
        <v>292.97810363769503</v>
      </c>
      <c r="B155">
        <v>-16061.1689453125</v>
      </c>
      <c r="C155">
        <v>-3.6762331410546801E-4</v>
      </c>
      <c r="D155" s="1">
        <v>5.3789157950504998E-7</v>
      </c>
      <c r="F155">
        <f t="shared" si="6"/>
        <v>-3.67623314105468E-7</v>
      </c>
      <c r="G155">
        <f t="shared" si="7"/>
        <v>-1278107.2147402638</v>
      </c>
      <c r="H155">
        <f t="shared" si="8"/>
        <v>-227485.4514492107</v>
      </c>
    </row>
    <row r="156" spans="1:8" x14ac:dyDescent="0.2">
      <c r="A156">
        <v>292.97877502441401</v>
      </c>
      <c r="B156">
        <v>-19780.3525390625</v>
      </c>
      <c r="C156">
        <v>-3.49905386947417E-4</v>
      </c>
      <c r="D156" s="1">
        <v>4.2509881125235E-7</v>
      </c>
      <c r="F156">
        <f t="shared" si="6"/>
        <v>-3.4990538694741697E-7</v>
      </c>
      <c r="G156">
        <f t="shared" si="7"/>
        <v>-1574070.4413460598</v>
      </c>
      <c r="H156">
        <f t="shared" si="8"/>
        <v>-216521.59115079357</v>
      </c>
    </row>
    <row r="157" spans="1:8" x14ac:dyDescent="0.2">
      <c r="A157">
        <v>292.98040771484398</v>
      </c>
      <c r="B157">
        <v>-24359.302734375</v>
      </c>
      <c r="C157">
        <v>-3.2321768268239401E-4</v>
      </c>
      <c r="D157" s="1">
        <v>6.7465673171475005E-7</v>
      </c>
      <c r="F157">
        <f t="shared" si="6"/>
        <v>-3.23217682682394E-7</v>
      </c>
      <c r="G157">
        <f t="shared" si="7"/>
        <v>-1938451.720223852</v>
      </c>
      <c r="H157">
        <f t="shared" si="8"/>
        <v>-200007.22924846321</v>
      </c>
    </row>
    <row r="158" spans="1:8" x14ac:dyDescent="0.2">
      <c r="A158">
        <v>292.97889709472702</v>
      </c>
      <c r="B158">
        <v>-29999.486328125</v>
      </c>
      <c r="C158">
        <v>-2.8548056711256298E-4</v>
      </c>
      <c r="D158" s="1">
        <v>7.8708059667927995E-7</v>
      </c>
      <c r="F158">
        <f t="shared" si="6"/>
        <v>-2.8548056711256298E-7</v>
      </c>
      <c r="G158">
        <f t="shared" si="7"/>
        <v>-2387283.2696694136</v>
      </c>
      <c r="H158">
        <f t="shared" si="8"/>
        <v>-176655.48728214388</v>
      </c>
    </row>
    <row r="159" spans="1:8" x14ac:dyDescent="0.2">
      <c r="A159">
        <v>292.98005676269503</v>
      </c>
      <c r="B159">
        <v>-24359.4931640625</v>
      </c>
      <c r="C159">
        <v>-3.2355509791829403E-4</v>
      </c>
      <c r="D159" s="1">
        <v>6.5872173399110097E-7</v>
      </c>
      <c r="F159">
        <f t="shared" si="6"/>
        <v>-3.2355509791829401E-7</v>
      </c>
      <c r="G159">
        <f t="shared" si="7"/>
        <v>-1938466.8741368903</v>
      </c>
      <c r="H159">
        <f t="shared" si="8"/>
        <v>-200216.02192923025</v>
      </c>
    </row>
    <row r="160" spans="1:8" x14ac:dyDescent="0.2">
      <c r="A160">
        <v>292.98152160644503</v>
      </c>
      <c r="B160">
        <v>-19779.634765625</v>
      </c>
      <c r="C160">
        <v>-3.4939497989049199E-4</v>
      </c>
      <c r="D160" s="1">
        <v>5.5205591651465197E-7</v>
      </c>
      <c r="F160">
        <f t="shared" si="6"/>
        <v>-3.4939497989049197E-7</v>
      </c>
      <c r="G160">
        <f t="shared" si="7"/>
        <v>-1574013.3227507607</v>
      </c>
      <c r="H160">
        <f t="shared" si="8"/>
        <v>-216205.7510630941</v>
      </c>
    </row>
    <row r="161" spans="1:8" x14ac:dyDescent="0.2">
      <c r="A161">
        <v>292.98051452636702</v>
      </c>
      <c r="B161">
        <v>-16061.77734375</v>
      </c>
      <c r="C161">
        <v>-3.6811236599811102E-4</v>
      </c>
      <c r="D161" s="1">
        <v>5.1988601308300295E-7</v>
      </c>
      <c r="F161">
        <f t="shared" si="6"/>
        <v>-3.6811236599811105E-7</v>
      </c>
      <c r="G161">
        <f t="shared" si="7"/>
        <v>-1278155.6295496125</v>
      </c>
      <c r="H161">
        <f t="shared" si="8"/>
        <v>-227788.07695284803</v>
      </c>
    </row>
    <row r="162" spans="1:8" x14ac:dyDescent="0.2">
      <c r="A162">
        <v>292.98200988769503</v>
      </c>
      <c r="B162">
        <v>-13041.1708984375</v>
      </c>
      <c r="C162">
        <v>-3.7930376804261101E-4</v>
      </c>
      <c r="D162" s="1">
        <v>5.4505362916318599E-7</v>
      </c>
      <c r="F162">
        <f t="shared" si="6"/>
        <v>-3.7930376804261102E-7</v>
      </c>
      <c r="G162">
        <f t="shared" si="7"/>
        <v>-1037783.406096251</v>
      </c>
      <c r="H162">
        <f t="shared" si="8"/>
        <v>-234713.32094243981</v>
      </c>
    </row>
    <row r="163" spans="1:8" x14ac:dyDescent="0.2">
      <c r="A163">
        <v>292.9814453125</v>
      </c>
      <c r="B163">
        <v>-10589.7373046875</v>
      </c>
      <c r="C163">
        <v>-3.85167404593504E-4</v>
      </c>
      <c r="D163" s="1">
        <v>5.0698068942398903E-7</v>
      </c>
      <c r="F163">
        <f t="shared" si="6"/>
        <v>-3.8516740459350398E-7</v>
      </c>
      <c r="G163">
        <f t="shared" si="7"/>
        <v>-842704.5190428301</v>
      </c>
      <c r="H163">
        <f t="shared" si="8"/>
        <v>-238341.74154780788</v>
      </c>
    </row>
    <row r="164" spans="1:8" x14ac:dyDescent="0.2">
      <c r="A164">
        <v>292.98089599609398</v>
      </c>
      <c r="B164">
        <v>-8598.99560546875</v>
      </c>
      <c r="C164">
        <v>-3.8646371091000098E-4</v>
      </c>
      <c r="D164" s="1">
        <v>3.4223371398748201E-7</v>
      </c>
      <c r="F164">
        <f t="shared" si="6"/>
        <v>-3.86463710910001E-7</v>
      </c>
      <c r="G164">
        <f t="shared" si="7"/>
        <v>-684286.32811791857</v>
      </c>
      <c r="H164">
        <f t="shared" si="8"/>
        <v>-239143.89640662671</v>
      </c>
    </row>
    <row r="165" spans="1:8" x14ac:dyDescent="0.2">
      <c r="A165">
        <v>292.98225402832003</v>
      </c>
      <c r="B165">
        <v>-6982.22509765625</v>
      </c>
      <c r="C165">
        <v>-3.8301843701386102E-4</v>
      </c>
      <c r="D165" s="1">
        <v>3.4073269048659499E-7</v>
      </c>
      <c r="F165">
        <f t="shared" si="6"/>
        <v>-3.83018437013861E-7</v>
      </c>
      <c r="G165">
        <f t="shared" si="7"/>
        <v>-555627.81903614197</v>
      </c>
      <c r="H165">
        <f t="shared" si="8"/>
        <v>-237011.95956378346</v>
      </c>
    </row>
    <row r="166" spans="1:8" x14ac:dyDescent="0.2">
      <c r="A166">
        <v>292.98188781738298</v>
      </c>
      <c r="B166">
        <v>-5670.0749511718795</v>
      </c>
      <c r="C166">
        <v>-3.7790245233695999E-4</v>
      </c>
      <c r="D166" s="1">
        <v>3.5811144399818001E-7</v>
      </c>
      <c r="F166">
        <f t="shared" si="6"/>
        <v>-3.7790245233695999E-7</v>
      </c>
      <c r="G166">
        <f t="shared" si="7"/>
        <v>-451210.22809027089</v>
      </c>
      <c r="H166">
        <f t="shared" si="8"/>
        <v>-233846.18623228525</v>
      </c>
    </row>
    <row r="167" spans="1:8" x14ac:dyDescent="0.2">
      <c r="A167">
        <v>292.98338317871099</v>
      </c>
      <c r="B167">
        <v>-4603.4470214843795</v>
      </c>
      <c r="C167">
        <v>-3.6881871258572001E-4</v>
      </c>
      <c r="D167" s="1">
        <v>4.1571942690302802E-7</v>
      </c>
      <c r="F167">
        <f t="shared" si="6"/>
        <v>-3.6881871258572003E-7</v>
      </c>
      <c r="G167">
        <f t="shared" si="7"/>
        <v>-366330.6743654508</v>
      </c>
      <c r="H167">
        <f t="shared" si="8"/>
        <v>-228225.16449924815</v>
      </c>
    </row>
    <row r="168" spans="1:8" x14ac:dyDescent="0.2">
      <c r="A168">
        <v>292.98321533203102</v>
      </c>
      <c r="B168">
        <v>-3738.4046630859398</v>
      </c>
      <c r="C168">
        <v>-3.5720445480490897E-4</v>
      </c>
      <c r="D168" s="1">
        <v>4.0747293956324203E-7</v>
      </c>
      <c r="F168">
        <f t="shared" si="6"/>
        <v>-3.57204454804909E-7</v>
      </c>
      <c r="G168">
        <f t="shared" si="7"/>
        <v>-297492.79070395947</v>
      </c>
      <c r="H168">
        <f t="shared" si="8"/>
        <v>-221038.25721360926</v>
      </c>
    </row>
    <row r="169" spans="1:8" x14ac:dyDescent="0.2">
      <c r="A169">
        <v>292.98289489746099</v>
      </c>
      <c r="B169">
        <v>-3035.85131835937</v>
      </c>
      <c r="C169">
        <v>-3.4253642794266199E-4</v>
      </c>
      <c r="D169" s="1">
        <v>4.1180587981575198E-7</v>
      </c>
      <c r="F169">
        <f t="shared" si="6"/>
        <v>-3.4253642794266202E-7</v>
      </c>
      <c r="G169">
        <f t="shared" si="7"/>
        <v>-241585.37190447049</v>
      </c>
      <c r="H169">
        <f t="shared" si="8"/>
        <v>-211961.67641854545</v>
      </c>
    </row>
    <row r="170" spans="1:8" x14ac:dyDescent="0.2">
      <c r="A170">
        <v>292.98258972167997</v>
      </c>
      <c r="B170">
        <v>-2465.3245849609398</v>
      </c>
      <c r="C170">
        <v>-3.24881239446015E-4</v>
      </c>
      <c r="D170" s="1">
        <v>3.7913965840905399E-7</v>
      </c>
      <c r="F170">
        <f t="shared" si="6"/>
        <v>-3.2488123944601502E-7</v>
      </c>
      <c r="G170">
        <f t="shared" si="7"/>
        <v>-196184.29701125444</v>
      </c>
      <c r="H170">
        <f t="shared" si="8"/>
        <v>-201036.63882849636</v>
      </c>
    </row>
    <row r="171" spans="1:8" x14ac:dyDescent="0.2">
      <c r="A171">
        <v>292.98345947265602</v>
      </c>
      <c r="B171">
        <v>-2001.89196777344</v>
      </c>
      <c r="C171">
        <v>-3.0478621340575501E-4</v>
      </c>
      <c r="D171" s="1">
        <v>3.3339557080396601E-7</v>
      </c>
      <c r="F171">
        <f t="shared" si="6"/>
        <v>-3.0478621340575503E-7</v>
      </c>
      <c r="G171">
        <f t="shared" si="7"/>
        <v>-159305.50110355212</v>
      </c>
      <c r="H171">
        <f t="shared" si="8"/>
        <v>-188601.82880624433</v>
      </c>
    </row>
    <row r="172" spans="1:8" x14ac:dyDescent="0.2">
      <c r="A172">
        <v>292.98414611816401</v>
      </c>
      <c r="B172">
        <v>-1625.46923828125</v>
      </c>
      <c r="C172">
        <v>-2.7861483569149203E-4</v>
      </c>
      <c r="D172" s="1">
        <v>3.4821602527887502E-7</v>
      </c>
      <c r="F172">
        <f t="shared" si="6"/>
        <v>-2.7861483569149202E-7</v>
      </c>
      <c r="G172">
        <f t="shared" si="7"/>
        <v>-129350.7320581394</v>
      </c>
      <c r="H172">
        <f t="shared" si="8"/>
        <v>-172406.96997672814</v>
      </c>
    </row>
    <row r="173" spans="1:8" x14ac:dyDescent="0.2">
      <c r="A173">
        <v>292.98377990722702</v>
      </c>
      <c r="B173">
        <v>-1320.22155761719</v>
      </c>
      <c r="C173">
        <v>-2.4690486870552602E-4</v>
      </c>
      <c r="D173" s="1">
        <v>3.3305769833750399E-7</v>
      </c>
      <c r="F173">
        <f t="shared" si="6"/>
        <v>-2.4690486870552603E-7</v>
      </c>
      <c r="G173">
        <f t="shared" si="7"/>
        <v>-105059.89343562866</v>
      </c>
      <c r="H173">
        <f t="shared" si="8"/>
        <v>-152784.82992613132</v>
      </c>
    </row>
    <row r="174" spans="1:8" x14ac:dyDescent="0.2">
      <c r="A174">
        <v>292.98405456542997</v>
      </c>
      <c r="B174">
        <v>-1071.92138671875</v>
      </c>
      <c r="C174">
        <v>-2.1835483598639001E-4</v>
      </c>
      <c r="D174" s="1">
        <v>3.34325637649193E-7</v>
      </c>
      <c r="F174">
        <f t="shared" si="6"/>
        <v>-2.1835483598639002E-7</v>
      </c>
      <c r="G174">
        <f t="shared" si="7"/>
        <v>-85300.793651104104</v>
      </c>
      <c r="H174">
        <f t="shared" si="8"/>
        <v>-135118.05844346329</v>
      </c>
    </row>
    <row r="175" spans="1:8" x14ac:dyDescent="0.2">
      <c r="A175">
        <v>292.98429870605497</v>
      </c>
      <c r="B175">
        <v>-870.49002075195301</v>
      </c>
      <c r="C175">
        <v>-1.9520898837411201E-4</v>
      </c>
      <c r="D175" s="1">
        <v>3.4195750964971502E-7</v>
      </c>
      <c r="F175">
        <f t="shared" si="6"/>
        <v>-1.95208988374112E-7</v>
      </c>
      <c r="G175">
        <f t="shared" si="7"/>
        <v>-69271.394857419931</v>
      </c>
      <c r="H175">
        <f t="shared" si="8"/>
        <v>-120795.39883177415</v>
      </c>
    </row>
    <row r="176" spans="1:8" x14ac:dyDescent="0.2">
      <c r="A176">
        <v>292.98512268066401</v>
      </c>
      <c r="B176">
        <v>-707.07510375976597</v>
      </c>
      <c r="C176">
        <v>-1.73716969974517E-4</v>
      </c>
      <c r="D176" s="1">
        <v>3.0288391626954302E-7</v>
      </c>
      <c r="F176">
        <f t="shared" si="6"/>
        <v>-1.73716969974517E-7</v>
      </c>
      <c r="G176">
        <f t="shared" si="7"/>
        <v>-56267.248950290777</v>
      </c>
      <c r="H176">
        <f t="shared" si="8"/>
        <v>-107496.1293877694</v>
      </c>
    </row>
    <row r="177" spans="1:8" x14ac:dyDescent="0.2">
      <c r="A177">
        <v>292.98495483398398</v>
      </c>
      <c r="B177">
        <v>-574.00424194335903</v>
      </c>
      <c r="C177">
        <v>-1.5464929993090699E-4</v>
      </c>
      <c r="D177" s="1">
        <v>3.1355886147803999E-7</v>
      </c>
      <c r="F177">
        <f t="shared" si="6"/>
        <v>-1.5464929993090699E-7</v>
      </c>
      <c r="G177">
        <f t="shared" si="7"/>
        <v>-45677.806230500915</v>
      </c>
      <c r="H177">
        <f t="shared" si="8"/>
        <v>-95697.04766056755</v>
      </c>
    </row>
    <row r="178" spans="1:8" x14ac:dyDescent="0.2">
      <c r="A178">
        <v>292.98448181152298</v>
      </c>
      <c r="B178">
        <v>-466.093017578125</v>
      </c>
      <c r="C178">
        <v>-1.39726307741344E-4</v>
      </c>
      <c r="D178" s="1">
        <v>2.9843507978461102E-7</v>
      </c>
      <c r="F178">
        <f t="shared" si="6"/>
        <v>-1.3972630774134401E-7</v>
      </c>
      <c r="G178">
        <f t="shared" si="7"/>
        <v>-37090.503844088133</v>
      </c>
      <c r="H178">
        <f t="shared" si="8"/>
        <v>-86462.694220617195</v>
      </c>
    </row>
    <row r="179" spans="1:8" x14ac:dyDescent="0.2">
      <c r="A179">
        <v>292.98387145996099</v>
      </c>
      <c r="B179">
        <v>-378.77435302734398</v>
      </c>
      <c r="C179">
        <v>-1.2590385454635099E-4</v>
      </c>
      <c r="D179" s="1">
        <v>3.4387489772248501E-7</v>
      </c>
      <c r="F179">
        <f t="shared" si="6"/>
        <v>-1.2590385454635098E-7</v>
      </c>
      <c r="G179">
        <f t="shared" si="7"/>
        <v>-30141.905300368206</v>
      </c>
      <c r="H179">
        <f t="shared" si="8"/>
        <v>-77909.3547436316</v>
      </c>
    </row>
    <row r="180" spans="1:8" x14ac:dyDescent="0.2">
      <c r="A180">
        <v>292.98416137695301</v>
      </c>
      <c r="B180">
        <v>-307.55383300781199</v>
      </c>
      <c r="C180">
        <v>-1.13999265279644E-4</v>
      </c>
      <c r="D180" s="1">
        <v>3.21036876052985E-7</v>
      </c>
      <c r="F180">
        <f t="shared" si="6"/>
        <v>-1.1399926527964401E-7</v>
      </c>
      <c r="G180">
        <f t="shared" si="7"/>
        <v>-24474.356395026298</v>
      </c>
      <c r="H180">
        <f t="shared" si="8"/>
        <v>-70542.790220258292</v>
      </c>
    </row>
    <row r="181" spans="1:8" x14ac:dyDescent="0.2">
      <c r="A181">
        <v>292.98477172851602</v>
      </c>
      <c r="B181">
        <v>-249.68943786621099</v>
      </c>
      <c r="C181">
        <v>-1.03887208793155E-4</v>
      </c>
      <c r="D181" s="1">
        <v>3.2396504692019403E-7</v>
      </c>
      <c r="F181">
        <f t="shared" si="6"/>
        <v>-1.0388720879315499E-7</v>
      </c>
      <c r="G181">
        <f t="shared" si="7"/>
        <v>-19869.654137122074</v>
      </c>
      <c r="H181">
        <f t="shared" si="8"/>
        <v>-64285.445686747757</v>
      </c>
    </row>
    <row r="182" spans="1:8" x14ac:dyDescent="0.2">
      <c r="A182">
        <v>292.98641967773398</v>
      </c>
      <c r="B182">
        <v>-203.101921081543</v>
      </c>
      <c r="C182" s="1">
        <v>-9.4905334548271004E-5</v>
      </c>
      <c r="D182" s="1">
        <v>3.4772743505361201E-7</v>
      </c>
      <c r="F182">
        <f t="shared" si="6"/>
        <v>-9.4905334548271002E-8</v>
      </c>
      <c r="G182">
        <f t="shared" si="7"/>
        <v>-16162.337345793798</v>
      </c>
      <c r="H182">
        <f t="shared" si="8"/>
        <v>-58727.458369133616</v>
      </c>
    </row>
    <row r="183" spans="1:8" x14ac:dyDescent="0.2">
      <c r="A183">
        <v>292.98576354980497</v>
      </c>
      <c r="B183">
        <v>-164.83135986328099</v>
      </c>
      <c r="C183" s="1">
        <v>-8.7658032202961699E-5</v>
      </c>
      <c r="D183" s="1">
        <v>2.8905536036232901E-7</v>
      </c>
      <c r="F183">
        <f t="shared" si="6"/>
        <v>-8.7658032202961694E-8</v>
      </c>
      <c r="G183">
        <f t="shared" si="7"/>
        <v>-13116.862849400104</v>
      </c>
      <c r="H183">
        <f t="shared" si="8"/>
        <v>-54242.824825629279</v>
      </c>
    </row>
    <row r="184" spans="1:8" x14ac:dyDescent="0.2">
      <c r="A184">
        <v>292.98583984375</v>
      </c>
      <c r="B184">
        <v>-133.73366546630899</v>
      </c>
      <c r="C184" s="1">
        <v>-8.1080123436645294E-5</v>
      </c>
      <c r="D184" s="1">
        <v>2.7875193687012398E-7</v>
      </c>
      <c r="F184">
        <f t="shared" si="6"/>
        <v>-8.1080123436645291E-8</v>
      </c>
      <c r="G184">
        <f t="shared" si="7"/>
        <v>-10642.186958380489</v>
      </c>
      <c r="H184">
        <f t="shared" si="8"/>
        <v>-50172.412292250323</v>
      </c>
    </row>
    <row r="185" spans="1:8" x14ac:dyDescent="0.2">
      <c r="A185">
        <v>292.98587036132801</v>
      </c>
      <c r="B185">
        <v>-108.973552703857</v>
      </c>
      <c r="C185" s="1">
        <v>-7.5607847901791798E-5</v>
      </c>
      <c r="D185" s="1">
        <v>3.81237236237498E-7</v>
      </c>
      <c r="F185">
        <f t="shared" si="6"/>
        <v>-7.56078479017918E-8</v>
      </c>
      <c r="G185">
        <f t="shared" si="7"/>
        <v>-8671.8397895520102</v>
      </c>
      <c r="H185">
        <f t="shared" si="8"/>
        <v>-46786.166037630363</v>
      </c>
    </row>
    <row r="186" spans="1:8" x14ac:dyDescent="0.2">
      <c r="A186">
        <v>292.98558044433599</v>
      </c>
      <c r="B186">
        <v>-88.226627349853501</v>
      </c>
      <c r="C186" s="1">
        <v>-7.0955986760174101E-5</v>
      </c>
      <c r="D186" s="1">
        <v>3.4359051671235703E-7</v>
      </c>
      <c r="F186">
        <f t="shared" si="6"/>
        <v>-7.0955986760174105E-8</v>
      </c>
      <c r="G186">
        <f t="shared" si="7"/>
        <v>-7020.8519275278959</v>
      </c>
      <c r="H186">
        <f t="shared" si="8"/>
        <v>-43907.592532424584</v>
      </c>
    </row>
    <row r="187" spans="1:8" x14ac:dyDescent="0.2">
      <c r="A187">
        <v>292.98486328125</v>
      </c>
      <c r="B187">
        <v>-72.083072662353501</v>
      </c>
      <c r="C187" s="1">
        <v>-6.71416389599249E-5</v>
      </c>
      <c r="D187" s="1">
        <v>3.24929112897842E-7</v>
      </c>
      <c r="F187">
        <f t="shared" si="6"/>
        <v>-6.7141638959924907E-8</v>
      </c>
      <c r="G187">
        <f t="shared" si="7"/>
        <v>-5736.1886637329144</v>
      </c>
      <c r="H187">
        <f t="shared" si="8"/>
        <v>-41547.272612466913</v>
      </c>
    </row>
    <row r="188" spans="1:8" x14ac:dyDescent="0.2">
      <c r="A188">
        <v>292.98622131347702</v>
      </c>
      <c r="B188">
        <v>-58.654319763183601</v>
      </c>
      <c r="C188" s="1">
        <v>-6.4249389348405094E-5</v>
      </c>
      <c r="D188" s="1">
        <v>3.1769449771672999E-7</v>
      </c>
      <c r="F188">
        <f t="shared" si="6"/>
        <v>-6.4249389348405089E-8</v>
      </c>
      <c r="G188">
        <f t="shared" si="7"/>
        <v>-4667.5624620016588</v>
      </c>
      <c r="H188">
        <f t="shared" si="8"/>
        <v>-39757.547414593224</v>
      </c>
    </row>
    <row r="189" spans="1:8" x14ac:dyDescent="0.2">
      <c r="A189">
        <v>292.98680114746099</v>
      </c>
      <c r="B189">
        <v>-47.831417083740199</v>
      </c>
      <c r="C189" s="1">
        <v>-6.0416409550040798E-5</v>
      </c>
      <c r="D189" s="1">
        <v>4.1231881132551302E-7</v>
      </c>
      <c r="F189">
        <f t="shared" si="6"/>
        <v>-6.0416409550040794E-8</v>
      </c>
      <c r="G189">
        <f t="shared" si="7"/>
        <v>-3806.3032319836911</v>
      </c>
      <c r="H189">
        <f t="shared" si="8"/>
        <v>-37385.69800686917</v>
      </c>
    </row>
    <row r="190" spans="1:8" x14ac:dyDescent="0.2">
      <c r="A190">
        <v>292.98660278320301</v>
      </c>
      <c r="B190">
        <v>-38.978794097900398</v>
      </c>
      <c r="C190" s="1">
        <v>-5.8270678401354003E-5</v>
      </c>
      <c r="D190" s="1">
        <v>3.4774428729673502E-7</v>
      </c>
      <c r="F190">
        <f t="shared" si="6"/>
        <v>-5.8270678401354005E-8</v>
      </c>
      <c r="G190">
        <f t="shared" si="7"/>
        <v>-3101.8338782210221</v>
      </c>
      <c r="H190">
        <f t="shared" si="8"/>
        <v>-36057.918727594166</v>
      </c>
    </row>
    <row r="191" spans="1:8" x14ac:dyDescent="0.2">
      <c r="A191">
        <v>292.98577880859398</v>
      </c>
      <c r="B191">
        <v>-31.533507347106902</v>
      </c>
      <c r="C191" s="1">
        <v>-5.5481793280342402E-5</v>
      </c>
      <c r="D191" s="1">
        <v>3.4390520268388702E-7</v>
      </c>
      <c r="F191">
        <f t="shared" si="6"/>
        <v>-5.5481793280342399E-8</v>
      </c>
      <c r="G191">
        <f t="shared" si="7"/>
        <v>-2509.3567836583311</v>
      </c>
      <c r="H191">
        <f t="shared" si="8"/>
        <v>-34332.155517126783</v>
      </c>
    </row>
    <row r="192" spans="1:8" x14ac:dyDescent="0.2">
      <c r="A192">
        <v>292.986572265625</v>
      </c>
      <c r="B192">
        <v>-25.922304153442401</v>
      </c>
      <c r="C192" s="1">
        <v>-5.3888977264231198E-5</v>
      </c>
      <c r="D192" s="1">
        <v>3.2081843731448399E-7</v>
      </c>
      <c r="F192">
        <f t="shared" si="6"/>
        <v>-5.3888977264231196E-8</v>
      </c>
      <c r="G192">
        <f t="shared" si="7"/>
        <v>-2062.8314211759639</v>
      </c>
      <c r="H192">
        <f t="shared" si="8"/>
        <v>-33346.520339493196</v>
      </c>
    </row>
    <row r="193" spans="1:8" x14ac:dyDescent="0.2">
      <c r="A193">
        <v>292.98641967773398</v>
      </c>
      <c r="B193">
        <v>-21.209983825683601</v>
      </c>
      <c r="C193" s="1">
        <v>-5.2735369545149502E-5</v>
      </c>
      <c r="D193" s="1">
        <v>3.2097579180052299E-7</v>
      </c>
      <c r="F193">
        <f t="shared" si="6"/>
        <v>-5.2735369545149502E-8</v>
      </c>
      <c r="G193">
        <f t="shared" si="7"/>
        <v>-1687.8368843783471</v>
      </c>
      <c r="H193">
        <f t="shared" si="8"/>
        <v>-32632.667428914992</v>
      </c>
    </row>
    <row r="194" spans="1:8" x14ac:dyDescent="0.2">
      <c r="A194">
        <v>292.98570251464798</v>
      </c>
      <c r="B194">
        <v>-16.933484077453599</v>
      </c>
      <c r="C194" s="1">
        <v>-5.1340644241917497E-5</v>
      </c>
      <c r="D194" s="1">
        <v>2.23699572905774E-7</v>
      </c>
      <c r="F194">
        <f t="shared" si="6"/>
        <v>-5.1340644241917495E-8</v>
      </c>
      <c r="G194">
        <f t="shared" si="7"/>
        <v>-1347.5238473473216</v>
      </c>
      <c r="H194">
        <f t="shared" si="8"/>
        <v>-31769.610862371053</v>
      </c>
    </row>
    <row r="195" spans="1:8" x14ac:dyDescent="0.2">
      <c r="A195">
        <v>292.98611450195301</v>
      </c>
      <c r="B195">
        <v>-13.864573955535899</v>
      </c>
      <c r="C195" s="1">
        <v>-4.9804197124493398E-5</v>
      </c>
      <c r="D195" s="1">
        <v>3.2597677485814698E-7</v>
      </c>
      <c r="F195">
        <f t="shared" si="6"/>
        <v>-4.9804197124493396E-8</v>
      </c>
      <c r="G195">
        <f t="shared" si="7"/>
        <v>-1103.3077394433451</v>
      </c>
      <c r="H195">
        <f t="shared" si="8"/>
        <v>-30818.856781429422</v>
      </c>
    </row>
    <row r="196" spans="1:8" x14ac:dyDescent="0.2">
      <c r="A196">
        <v>292.98541259765602</v>
      </c>
      <c r="B196">
        <v>-11.540192127227799</v>
      </c>
      <c r="C196" s="1">
        <v>-4.9103347019157402E-5</v>
      </c>
      <c r="D196" s="1">
        <v>3.4277703907001501E-7</v>
      </c>
      <c r="F196">
        <f t="shared" si="6"/>
        <v>-4.9103347019157405E-8</v>
      </c>
      <c r="G196">
        <f t="shared" si="7"/>
        <v>-918.33931063923956</v>
      </c>
      <c r="H196">
        <f t="shared" si="8"/>
        <v>-30385.170460423011</v>
      </c>
    </row>
    <row r="197" spans="1:8" x14ac:dyDescent="0.2">
      <c r="A197">
        <v>292.98587036132801</v>
      </c>
      <c r="B197">
        <v>-9.1794919967651403</v>
      </c>
      <c r="C197" s="1">
        <v>-4.8065925978909497E-5</v>
      </c>
      <c r="D197" s="1">
        <v>3.1805793549331702E-7</v>
      </c>
      <c r="F197">
        <f t="shared" si="6"/>
        <v>-4.80659259789095E-8</v>
      </c>
      <c r="G197">
        <f t="shared" si="7"/>
        <v>-730.48076317883238</v>
      </c>
      <c r="H197">
        <f t="shared" si="8"/>
        <v>-29743.213912433243</v>
      </c>
    </row>
    <row r="198" spans="1:8" x14ac:dyDescent="0.2">
      <c r="A198">
        <v>292.98617553710898</v>
      </c>
      <c r="B198">
        <v>-7.84478807449341</v>
      </c>
      <c r="C198" s="1">
        <v>-4.8422642209145202E-5</v>
      </c>
      <c r="D198" s="1">
        <v>3.1875652889581001E-7</v>
      </c>
      <c r="F198">
        <f t="shared" si="6"/>
        <v>-4.8422642209145201E-8</v>
      </c>
      <c r="G198">
        <f t="shared" si="7"/>
        <v>-624.26839978198893</v>
      </c>
      <c r="H198">
        <f t="shared" si="8"/>
        <v>-29963.950056091282</v>
      </c>
    </row>
    <row r="199" spans="1:8" x14ac:dyDescent="0.2">
      <c r="A199">
        <v>292.98637390136702</v>
      </c>
      <c r="B199">
        <v>-6.1832184791564897</v>
      </c>
      <c r="C199" s="1">
        <v>-4.7230324961969599E-5</v>
      </c>
      <c r="D199" s="1">
        <v>3.1005550997208002E-7</v>
      </c>
      <c r="F199">
        <f t="shared" si="6"/>
        <v>-4.7230324961969598E-8</v>
      </c>
      <c r="G199">
        <f t="shared" si="7"/>
        <v>-492.04489258745338</v>
      </c>
      <c r="H199">
        <f t="shared" si="8"/>
        <v>-29226.143674294162</v>
      </c>
    </row>
    <row r="200" spans="1:8" x14ac:dyDescent="0.2">
      <c r="A200">
        <v>292.98820495605497</v>
      </c>
      <c r="B200">
        <v>-5.25709772109985</v>
      </c>
      <c r="C200" s="1">
        <v>-4.6638885396210602E-5</v>
      </c>
      <c r="D200" s="1">
        <v>3.21955808780403E-7</v>
      </c>
      <c r="F200">
        <f t="shared" si="6"/>
        <v>-4.6638885396210604E-8</v>
      </c>
      <c r="G200">
        <f t="shared" si="7"/>
        <v>-418.34654431508966</v>
      </c>
      <c r="H200">
        <f t="shared" si="8"/>
        <v>-28860.160638237285</v>
      </c>
    </row>
    <row r="201" spans="1:8" x14ac:dyDescent="0.2">
      <c r="A201">
        <v>292.98744201660202</v>
      </c>
      <c r="B201">
        <v>-4.3037381172180202</v>
      </c>
      <c r="C201" s="1">
        <v>-4.6003601515057097E-5</v>
      </c>
      <c r="D201" s="1">
        <v>2.4267044708631898E-7</v>
      </c>
      <c r="F201">
        <f t="shared" ref="F201:F257" si="9">C201/1000</f>
        <v>-4.6003601515057099E-8</v>
      </c>
      <c r="G201">
        <f t="shared" ref="G201:G257" si="10">(B201*1000)/(4*PI())</f>
        <v>-342.48059756412744</v>
      </c>
      <c r="H201">
        <f t="shared" ref="H201:H257" si="11">F201/$G$4</f>
        <v>-28467.046722559047</v>
      </c>
    </row>
    <row r="202" spans="1:8" x14ac:dyDescent="0.2">
      <c r="A202">
        <v>292.986572265625</v>
      </c>
      <c r="B202">
        <v>-3.5864483118057202</v>
      </c>
      <c r="C202" s="1">
        <v>-4.5698090026792799E-5</v>
      </c>
      <c r="D202" s="1">
        <v>3.4342428944752698E-7</v>
      </c>
      <c r="F202">
        <f t="shared" si="9"/>
        <v>-4.5698090026792796E-8</v>
      </c>
      <c r="G202">
        <f t="shared" si="10"/>
        <v>-285.40048848373175</v>
      </c>
      <c r="H202">
        <f t="shared" si="11"/>
        <v>-28277.996093384896</v>
      </c>
    </row>
    <row r="203" spans="1:8" x14ac:dyDescent="0.2">
      <c r="A203">
        <v>292.98664855957003</v>
      </c>
      <c r="B203">
        <v>-3.1233880519866899</v>
      </c>
      <c r="C203" s="1">
        <v>-4.51864071351245E-5</v>
      </c>
      <c r="D203" s="1">
        <v>3.10606592446863E-7</v>
      </c>
      <c r="F203">
        <f t="shared" si="9"/>
        <v>-4.5186407135124498E-8</v>
      </c>
      <c r="G203">
        <f t="shared" si="10"/>
        <v>-248.55132383392373</v>
      </c>
      <c r="H203">
        <f t="shared" si="11"/>
        <v>-27961.366518644143</v>
      </c>
    </row>
    <row r="204" spans="1:8" x14ac:dyDescent="0.2">
      <c r="A204">
        <v>292.98800659179699</v>
      </c>
      <c r="B204">
        <v>-2.48781490325928</v>
      </c>
      <c r="C204" s="1">
        <v>-4.5434875349792399E-5</v>
      </c>
      <c r="D204" s="1">
        <v>3.0581633602541598E-7</v>
      </c>
      <c r="F204">
        <f t="shared" si="9"/>
        <v>-4.54348753497924E-8</v>
      </c>
      <c r="G204">
        <f t="shared" si="10"/>
        <v>-197.97401967569991</v>
      </c>
      <c r="H204">
        <f t="shared" si="11"/>
        <v>-28115.118747667057</v>
      </c>
    </row>
    <row r="205" spans="1:8" x14ac:dyDescent="0.2">
      <c r="A205">
        <v>292.98635864257801</v>
      </c>
      <c r="B205">
        <v>-2.1064708232879599</v>
      </c>
      <c r="C205" s="1">
        <v>-4.4609037650361398E-5</v>
      </c>
      <c r="D205" s="1">
        <v>3.3668425984686901E-7</v>
      </c>
      <c r="F205">
        <f t="shared" si="9"/>
        <v>-4.4609037650361401E-8</v>
      </c>
      <c r="G205">
        <f t="shared" si="10"/>
        <v>-167.6276220025666</v>
      </c>
      <c r="H205">
        <f t="shared" si="11"/>
        <v>-27604.090054244905</v>
      </c>
    </row>
    <row r="206" spans="1:8" x14ac:dyDescent="0.2">
      <c r="A206">
        <v>292.98611450195301</v>
      </c>
      <c r="B206">
        <v>-1.69788825511932</v>
      </c>
      <c r="C206" s="1">
        <v>-4.4755741684299901E-5</v>
      </c>
      <c r="D206" s="1">
        <v>3.2622078190875602E-7</v>
      </c>
      <c r="F206">
        <f t="shared" si="9"/>
        <v>-4.4755741684299899E-8</v>
      </c>
      <c r="G206">
        <f t="shared" si="10"/>
        <v>-135.11365430995642</v>
      </c>
      <c r="H206">
        <f t="shared" si="11"/>
        <v>-27694.870568182458</v>
      </c>
    </row>
    <row r="207" spans="1:8" x14ac:dyDescent="0.2">
      <c r="A207">
        <v>292.98548889160202</v>
      </c>
      <c r="B207">
        <v>-1.67064940929413</v>
      </c>
      <c r="C207" s="1">
        <v>-4.4201452736740098E-5</v>
      </c>
      <c r="D207" s="1">
        <v>2.9274057172799101E-7</v>
      </c>
      <c r="F207">
        <f t="shared" si="9"/>
        <v>-4.4201452736740097E-8</v>
      </c>
      <c r="G207">
        <f t="shared" si="10"/>
        <v>-132.94605583135791</v>
      </c>
      <c r="H207">
        <f t="shared" si="11"/>
        <v>-27351.87634928813</v>
      </c>
    </row>
    <row r="208" spans="1:8" x14ac:dyDescent="0.2">
      <c r="A208">
        <v>292.98605346679699</v>
      </c>
      <c r="B208">
        <v>0.92612087726592995</v>
      </c>
      <c r="C208" s="1">
        <v>-4.3904368278118401E-5</v>
      </c>
      <c r="D208" s="1">
        <v>2.9535806213799202E-7</v>
      </c>
      <c r="F208">
        <f t="shared" si="9"/>
        <v>-4.3904368278118403E-8</v>
      </c>
      <c r="G208">
        <f t="shared" si="10"/>
        <v>73.698357758737629</v>
      </c>
      <c r="H208">
        <f t="shared" si="11"/>
        <v>-27168.040369373342</v>
      </c>
    </row>
    <row r="209" spans="1:8" x14ac:dyDescent="0.2">
      <c r="A209">
        <v>292.98744201660202</v>
      </c>
      <c r="B209">
        <v>1.00783738493919</v>
      </c>
      <c r="C209" s="1">
        <v>-4.4204224130959003E-5</v>
      </c>
      <c r="D209" s="1">
        <v>3.7075404445882198E-7</v>
      </c>
      <c r="F209">
        <f t="shared" si="9"/>
        <v>-4.4204224130959005E-8</v>
      </c>
      <c r="G209">
        <f t="shared" si="10"/>
        <v>80.201150822940704</v>
      </c>
      <c r="H209">
        <f t="shared" si="11"/>
        <v>-27353.59128912149</v>
      </c>
    </row>
    <row r="210" spans="1:8" x14ac:dyDescent="0.2">
      <c r="A210">
        <v>292.98718261718801</v>
      </c>
      <c r="B210">
        <v>1.07139468193054</v>
      </c>
      <c r="C210" s="1">
        <v>-4.3792214265223203E-5</v>
      </c>
      <c r="D210" s="1">
        <v>3.22870826425976E-7</v>
      </c>
      <c r="F210">
        <f t="shared" si="9"/>
        <v>-4.3792214265223203E-8</v>
      </c>
      <c r="G210">
        <f t="shared" si="10"/>
        <v>85.258879815807191</v>
      </c>
      <c r="H210">
        <f t="shared" si="11"/>
        <v>-27098.639422054788</v>
      </c>
    </row>
    <row r="211" spans="1:8" x14ac:dyDescent="0.2">
      <c r="A211">
        <v>292.98750305175798</v>
      </c>
      <c r="B211">
        <v>1.3710220456123401</v>
      </c>
      <c r="C211" s="1">
        <v>-4.3684415840773E-5</v>
      </c>
      <c r="D211" s="1">
        <v>2.6134804164853198E-7</v>
      </c>
      <c r="F211">
        <f t="shared" si="9"/>
        <v>-4.3684415840773002E-8</v>
      </c>
      <c r="G211">
        <f t="shared" si="10"/>
        <v>109.10246782358296</v>
      </c>
      <c r="H211">
        <f t="shared" si="11"/>
        <v>-27031.933714580173</v>
      </c>
    </row>
    <row r="212" spans="1:8" x14ac:dyDescent="0.2">
      <c r="A212">
        <v>292.98771667480497</v>
      </c>
      <c r="B212">
        <v>2.0973912477493299</v>
      </c>
      <c r="C212" s="1">
        <v>-4.3024603974621699E-5</v>
      </c>
      <c r="D212" s="1">
        <v>4.0665146618912697E-7</v>
      </c>
      <c r="F212">
        <f t="shared" si="9"/>
        <v>-4.3024603974621698E-8</v>
      </c>
      <c r="G212">
        <f t="shared" si="10"/>
        <v>166.90509233849198</v>
      </c>
      <c r="H212">
        <f t="shared" si="11"/>
        <v>-26623.641872132135</v>
      </c>
    </row>
    <row r="213" spans="1:8" x14ac:dyDescent="0.2">
      <c r="A213">
        <v>292.98779296875</v>
      </c>
      <c r="B213">
        <v>2.5332127809524501</v>
      </c>
      <c r="C213" s="1">
        <v>-4.3039749186731301E-5</v>
      </c>
      <c r="D213" s="1">
        <v>2.56179423873408E-7</v>
      </c>
      <c r="F213">
        <f t="shared" si="9"/>
        <v>-4.3039749186731301E-8</v>
      </c>
      <c r="G213">
        <f t="shared" si="10"/>
        <v>201.58666799607457</v>
      </c>
      <c r="H213">
        <f t="shared" si="11"/>
        <v>-26633.013735346063</v>
      </c>
    </row>
    <row r="214" spans="1:8" x14ac:dyDescent="0.2">
      <c r="A214">
        <v>292.98664855957003</v>
      </c>
      <c r="B214">
        <v>3.71356308460236</v>
      </c>
      <c r="C214" s="1">
        <v>-4.2691523467261001E-5</v>
      </c>
      <c r="D214" s="1">
        <v>2.8059377029399499E-7</v>
      </c>
      <c r="F214">
        <f t="shared" si="9"/>
        <v>-4.2691523467261E-8</v>
      </c>
      <c r="G214">
        <f t="shared" si="10"/>
        <v>295.51596069902598</v>
      </c>
      <c r="H214">
        <f t="shared" si="11"/>
        <v>-26417.531523091155</v>
      </c>
    </row>
    <row r="215" spans="1:8" x14ac:dyDescent="0.2">
      <c r="A215">
        <v>292.98716735839798</v>
      </c>
      <c r="B215">
        <v>4.2038624286651602</v>
      </c>
      <c r="C215" s="1">
        <v>-4.2726557533093603E-5</v>
      </c>
      <c r="D215" s="1">
        <v>3.47606969282122E-7</v>
      </c>
      <c r="F215">
        <f t="shared" si="9"/>
        <v>-4.2726557533093603E-8</v>
      </c>
      <c r="G215">
        <f t="shared" si="10"/>
        <v>334.53274280018024</v>
      </c>
      <c r="H215">
        <f t="shared" si="11"/>
        <v>-26439.210616816272</v>
      </c>
    </row>
    <row r="216" spans="1:8" x14ac:dyDescent="0.2">
      <c r="A216">
        <v>292.98626708984398</v>
      </c>
      <c r="B216">
        <v>5.1753811836242702</v>
      </c>
      <c r="C216" s="1">
        <v>-4.24656609839503E-5</v>
      </c>
      <c r="D216" s="1">
        <v>3.3022688071606701E-7</v>
      </c>
      <c r="F216">
        <f t="shared" si="9"/>
        <v>-4.24656609839503E-8</v>
      </c>
      <c r="G216">
        <f t="shared" si="10"/>
        <v>411.84374887929334</v>
      </c>
      <c r="H216">
        <f t="shared" si="11"/>
        <v>-26277.767729528718</v>
      </c>
    </row>
    <row r="217" spans="1:8" x14ac:dyDescent="0.2">
      <c r="A217">
        <v>292.9873046875</v>
      </c>
      <c r="B217">
        <v>6.5645625591278103</v>
      </c>
      <c r="C217" s="1">
        <v>-4.2383862753947898E-5</v>
      </c>
      <c r="D217" s="1">
        <v>2.2303440805152301E-7</v>
      </c>
      <c r="F217">
        <f t="shared" si="9"/>
        <v>-4.2383862753947897E-8</v>
      </c>
      <c r="G217">
        <f t="shared" si="10"/>
        <v>522.39129026058674</v>
      </c>
      <c r="H217">
        <f t="shared" si="11"/>
        <v>-26227.150952610962</v>
      </c>
    </row>
    <row r="218" spans="1:8" x14ac:dyDescent="0.2">
      <c r="A218">
        <v>292.98831176757801</v>
      </c>
      <c r="B218">
        <v>8.2170524597168004</v>
      </c>
      <c r="C218" s="1">
        <v>-4.1327810533075098E-5</v>
      </c>
      <c r="D218" s="1">
        <v>3.1380592337484798E-7</v>
      </c>
      <c r="F218">
        <f t="shared" si="9"/>
        <v>-4.13278105330751E-8</v>
      </c>
      <c r="G218">
        <f t="shared" si="10"/>
        <v>653.89225830467296</v>
      </c>
      <c r="H218">
        <f t="shared" si="11"/>
        <v>-25573.665422718077</v>
      </c>
    </row>
    <row r="219" spans="1:8" x14ac:dyDescent="0.2">
      <c r="A219">
        <v>292.98710632324202</v>
      </c>
      <c r="B219">
        <v>10.4233994483948</v>
      </c>
      <c r="C219" s="1">
        <v>-4.0315616292469798E-5</v>
      </c>
      <c r="D219" s="1">
        <v>2.84967690787572E-7</v>
      </c>
      <c r="F219">
        <f t="shared" si="9"/>
        <v>-4.0315616292469801E-8</v>
      </c>
      <c r="G219">
        <f t="shared" si="10"/>
        <v>829.46777301668396</v>
      </c>
      <c r="H219">
        <f t="shared" si="11"/>
        <v>-24947.319228275341</v>
      </c>
    </row>
    <row r="220" spans="1:8" x14ac:dyDescent="0.2">
      <c r="A220">
        <v>292.98811340332003</v>
      </c>
      <c r="B220">
        <v>13.3288760185242</v>
      </c>
      <c r="C220" s="1">
        <v>-4.01265071970018E-5</v>
      </c>
      <c r="D220" s="1">
        <v>2.65729406841913E-7</v>
      </c>
      <c r="F220">
        <f t="shared" si="9"/>
        <v>-4.0126507197001802E-8</v>
      </c>
      <c r="G220">
        <f t="shared" si="10"/>
        <v>1060.6782521035739</v>
      </c>
      <c r="H220">
        <f t="shared" si="11"/>
        <v>-24830.298445574525</v>
      </c>
    </row>
    <row r="221" spans="1:8" x14ac:dyDescent="0.2">
      <c r="A221">
        <v>292.98927307128901</v>
      </c>
      <c r="B221">
        <v>15.943806171417201</v>
      </c>
      <c r="C221" s="1">
        <v>-4.00924394572551E-5</v>
      </c>
      <c r="D221" s="1">
        <v>3.2137149782705298E-7</v>
      </c>
      <c r="F221">
        <f t="shared" si="9"/>
        <v>-4.0092439457255096E-8</v>
      </c>
      <c r="G221">
        <f t="shared" si="10"/>
        <v>1268.7677819400571</v>
      </c>
      <c r="H221">
        <f t="shared" si="11"/>
        <v>-24809.217314811664</v>
      </c>
    </row>
    <row r="222" spans="1:8" x14ac:dyDescent="0.2">
      <c r="A222">
        <v>292.98846435546898</v>
      </c>
      <c r="B222">
        <v>20.202145576477001</v>
      </c>
      <c r="C222" s="1">
        <v>-3.9450762590180202E-5</v>
      </c>
      <c r="D222" s="1">
        <v>3.52546922220879E-7</v>
      </c>
      <c r="F222">
        <f t="shared" si="9"/>
        <v>-3.9450762590180202E-8</v>
      </c>
      <c r="G222">
        <f t="shared" si="10"/>
        <v>1607.6356647791911</v>
      </c>
      <c r="H222">
        <f t="shared" si="11"/>
        <v>-24412.147416929263</v>
      </c>
    </row>
    <row r="223" spans="1:8" x14ac:dyDescent="0.2">
      <c r="A223">
        <v>292.98593139648398</v>
      </c>
      <c r="B223">
        <v>24.914465904235801</v>
      </c>
      <c r="C223" s="1">
        <v>-3.8073609793384197E-5</v>
      </c>
      <c r="D223" s="1">
        <v>3.6319320027793499E-7</v>
      </c>
      <c r="F223">
        <f t="shared" si="9"/>
        <v>-3.8073609793384195E-8</v>
      </c>
      <c r="G223">
        <f t="shared" si="10"/>
        <v>1982.6302015768078</v>
      </c>
      <c r="H223">
        <f t="shared" si="11"/>
        <v>-23559.964724283702</v>
      </c>
    </row>
    <row r="224" spans="1:8" x14ac:dyDescent="0.2">
      <c r="A224">
        <v>292.98731994628901</v>
      </c>
      <c r="B224">
        <v>30.47119140625</v>
      </c>
      <c r="C224" s="1">
        <v>-3.6956578613030403E-5</v>
      </c>
      <c r="D224" s="1">
        <v>2.58995997040383E-7</v>
      </c>
      <c r="F224">
        <f t="shared" si="9"/>
        <v>-3.6956578613030403E-8</v>
      </c>
      <c r="G224">
        <f t="shared" si="10"/>
        <v>2424.8203671019846</v>
      </c>
      <c r="H224">
        <f t="shared" si="11"/>
        <v>-22868.745390265281</v>
      </c>
    </row>
    <row r="225" spans="1:8" x14ac:dyDescent="0.2">
      <c r="A225">
        <v>292.98776245117199</v>
      </c>
      <c r="B225">
        <v>37.598690032958999</v>
      </c>
      <c r="C225" s="1">
        <v>-3.6487955146397397E-5</v>
      </c>
      <c r="D225" s="1">
        <v>3.67285638153254E-7</v>
      </c>
      <c r="F225">
        <f t="shared" si="9"/>
        <v>-3.64879551463974E-8</v>
      </c>
      <c r="G225">
        <f t="shared" si="10"/>
        <v>2992.0086862627008</v>
      </c>
      <c r="H225">
        <f t="shared" si="11"/>
        <v>-22578.76100468271</v>
      </c>
    </row>
    <row r="226" spans="1:8" x14ac:dyDescent="0.2">
      <c r="A226">
        <v>292.98757934570301</v>
      </c>
      <c r="B226">
        <v>46.623828887939503</v>
      </c>
      <c r="C226" s="1">
        <v>-3.4232207298329402E-5</v>
      </c>
      <c r="D226" s="1">
        <v>3.2283739899195503E-7</v>
      </c>
      <c r="F226">
        <f t="shared" si="9"/>
        <v>-3.42322072983294E-8</v>
      </c>
      <c r="G226">
        <f t="shared" si="10"/>
        <v>3710.2064166931391</v>
      </c>
      <c r="H226">
        <f t="shared" si="11"/>
        <v>-21182.90334853276</v>
      </c>
    </row>
    <row r="227" spans="1:8" x14ac:dyDescent="0.2">
      <c r="A227">
        <v>292.98817443847702</v>
      </c>
      <c r="B227">
        <v>57.755437850952198</v>
      </c>
      <c r="C227" s="1">
        <v>-3.2515694816610297E-5</v>
      </c>
      <c r="D227" s="1">
        <v>4.3547347723720102E-7</v>
      </c>
      <c r="F227">
        <f t="shared" si="9"/>
        <v>-3.2515694816610296E-8</v>
      </c>
      <c r="G227">
        <f t="shared" si="10"/>
        <v>4596.0317122078977</v>
      </c>
      <c r="H227">
        <f t="shared" si="11"/>
        <v>-20120.724749299392</v>
      </c>
    </row>
    <row r="228" spans="1:8" x14ac:dyDescent="0.2">
      <c r="A228">
        <v>292.98834228515602</v>
      </c>
      <c r="B228">
        <v>71.166030883789105</v>
      </c>
      <c r="C228" s="1">
        <v>-3.01094989852688E-5</v>
      </c>
      <c r="D228" s="1">
        <v>2.7574647248348601E-7</v>
      </c>
      <c r="F228">
        <f t="shared" si="9"/>
        <v>-3.0109498985268799E-8</v>
      </c>
      <c r="G228">
        <f t="shared" si="10"/>
        <v>5663.2127976927604</v>
      </c>
      <c r="H228">
        <f t="shared" si="11"/>
        <v>-18631.769821889939</v>
      </c>
    </row>
    <row r="229" spans="1:8" x14ac:dyDescent="0.2">
      <c r="A229">
        <v>292.98735046386702</v>
      </c>
      <c r="B229">
        <v>87.454864501953097</v>
      </c>
      <c r="C229" s="1">
        <v>-2.74522776449504E-5</v>
      </c>
      <c r="D229" s="1">
        <v>3.9646372433508602E-7</v>
      </c>
      <c r="F229">
        <f t="shared" si="9"/>
        <v>-2.74522776449504E-8</v>
      </c>
      <c r="G229">
        <f t="shared" si="10"/>
        <v>6959.4369914588815</v>
      </c>
      <c r="H229">
        <f t="shared" si="11"/>
        <v>-16987.48021073272</v>
      </c>
    </row>
    <row r="230" spans="1:8" x14ac:dyDescent="0.2">
      <c r="A230">
        <v>292.98780822753901</v>
      </c>
      <c r="B230">
        <v>107.71148681640599</v>
      </c>
      <c r="C230" s="1">
        <v>-2.32683573952286E-5</v>
      </c>
      <c r="D230" s="1">
        <v>3.7147451035989798E-7</v>
      </c>
      <c r="F230">
        <f t="shared" si="9"/>
        <v>-2.3268357395228599E-8</v>
      </c>
      <c r="G230">
        <f t="shared" si="10"/>
        <v>8571.4077773042645</v>
      </c>
      <c r="H230">
        <f t="shared" si="11"/>
        <v>-14398.468713593558</v>
      </c>
    </row>
    <row r="231" spans="1:8" x14ac:dyDescent="0.2">
      <c r="A231">
        <v>292.98768615722702</v>
      </c>
      <c r="B231">
        <v>132.96190643310501</v>
      </c>
      <c r="C231" s="1">
        <v>-1.81973883920799E-5</v>
      </c>
      <c r="D231" s="1">
        <v>3.46336553433866E-7</v>
      </c>
      <c r="F231">
        <f t="shared" si="9"/>
        <v>-1.81973883920799E-8</v>
      </c>
      <c r="G231">
        <f t="shared" si="10"/>
        <v>10580.77232587537</v>
      </c>
      <c r="H231">
        <f t="shared" si="11"/>
        <v>-11260.55109872954</v>
      </c>
    </row>
    <row r="232" spans="1:8" x14ac:dyDescent="0.2">
      <c r="A232">
        <v>292.98747253417997</v>
      </c>
      <c r="B232">
        <v>163.923393249512</v>
      </c>
      <c r="C232" s="1">
        <v>-1.0962674126606701E-5</v>
      </c>
      <c r="D232" s="1">
        <v>3.5680063470586801E-7</v>
      </c>
      <c r="F232">
        <f t="shared" si="9"/>
        <v>-1.09626741266067E-8</v>
      </c>
      <c r="G232">
        <f t="shared" si="10"/>
        <v>13044.609162028233</v>
      </c>
      <c r="H232">
        <f t="shared" si="11"/>
        <v>-6783.7070639819185</v>
      </c>
    </row>
    <row r="233" spans="1:8" x14ac:dyDescent="0.2">
      <c r="A233">
        <v>292.988037109375</v>
      </c>
      <c r="B233">
        <v>201.867111206055</v>
      </c>
      <c r="C233" s="1">
        <v>-1.68148269388599E-6</v>
      </c>
      <c r="D233" s="1">
        <v>2.9415354093759898E-7</v>
      </c>
      <c r="F233">
        <f t="shared" si="9"/>
        <v>-1.6814826938859899E-9</v>
      </c>
      <c r="G233">
        <f t="shared" si="10"/>
        <v>16064.074298062496</v>
      </c>
      <c r="H233">
        <f t="shared" si="11"/>
        <v>-1040.5021527360195</v>
      </c>
    </row>
    <row r="234" spans="1:8" x14ac:dyDescent="0.2">
      <c r="A234">
        <v>292.98939514160202</v>
      </c>
      <c r="B234">
        <v>248.96307373046901</v>
      </c>
      <c r="C234" s="1">
        <v>1.0500499277972499E-5</v>
      </c>
      <c r="D234" s="1">
        <v>3.5169866527661198E-7</v>
      </c>
      <c r="F234">
        <f t="shared" si="9"/>
        <v>1.05004992779725E-8</v>
      </c>
      <c r="G234">
        <f t="shared" si="10"/>
        <v>19811.851915778068</v>
      </c>
      <c r="H234">
        <f t="shared" si="11"/>
        <v>6497.7130857549046</v>
      </c>
    </row>
    <row r="235" spans="1:8" x14ac:dyDescent="0.2">
      <c r="A235">
        <v>292.98989868164102</v>
      </c>
      <c r="B235">
        <v>306.52784729003901</v>
      </c>
      <c r="C235" s="1">
        <v>2.6251625462784199E-5</v>
      </c>
      <c r="D235" s="1">
        <v>3.2337490423427101E-7</v>
      </c>
      <c r="F235">
        <f t="shared" si="9"/>
        <v>2.6251625462784198E-8</v>
      </c>
      <c r="G235">
        <f t="shared" si="10"/>
        <v>24392.71104576367</v>
      </c>
      <c r="H235">
        <f t="shared" si="11"/>
        <v>16244.516167883143</v>
      </c>
    </row>
    <row r="236" spans="1:8" x14ac:dyDescent="0.2">
      <c r="A236">
        <v>292.98905944824202</v>
      </c>
      <c r="B236">
        <v>377.89363098144503</v>
      </c>
      <c r="C236" s="1">
        <v>4.5833722114873397E-5</v>
      </c>
      <c r="D236" s="1">
        <v>3.1474451154716298E-7</v>
      </c>
      <c r="F236">
        <f t="shared" si="9"/>
        <v>4.58337221148734E-8</v>
      </c>
      <c r="G236">
        <f t="shared" si="10"/>
        <v>30071.819666820789</v>
      </c>
      <c r="H236">
        <f t="shared" si="11"/>
        <v>28361.925282868138</v>
      </c>
    </row>
    <row r="237" spans="1:8" x14ac:dyDescent="0.2">
      <c r="A237">
        <v>292.98745727539102</v>
      </c>
      <c r="B237">
        <v>465.14874267578102</v>
      </c>
      <c r="C237" s="1">
        <v>7.0504645550144605E-5</v>
      </c>
      <c r="D237" s="1">
        <v>2.9881366174770299E-7</v>
      </c>
      <c r="F237">
        <f t="shared" si="9"/>
        <v>7.0504645550144608E-8</v>
      </c>
      <c r="G237">
        <f t="shared" si="10"/>
        <v>37015.3608349153</v>
      </c>
      <c r="H237">
        <f t="shared" si="11"/>
        <v>43628.302414029815</v>
      </c>
    </row>
    <row r="238" spans="1:8" x14ac:dyDescent="0.2">
      <c r="A238">
        <v>292.98828125</v>
      </c>
      <c r="B238">
        <v>573.314208984375</v>
      </c>
      <c r="C238" s="1">
        <v>9.9601839932921904E-5</v>
      </c>
      <c r="D238" s="1">
        <v>3.5253375851141702E-7</v>
      </c>
      <c r="F238">
        <f t="shared" si="9"/>
        <v>9.9601839932921909E-8</v>
      </c>
      <c r="G238">
        <f t="shared" si="10"/>
        <v>45622.895152341596</v>
      </c>
      <c r="H238">
        <f t="shared" si="11"/>
        <v>61633.657749498401</v>
      </c>
    </row>
    <row r="239" spans="1:8" x14ac:dyDescent="0.2">
      <c r="A239">
        <v>292.98765563964798</v>
      </c>
      <c r="B239">
        <v>706.01278686523403</v>
      </c>
      <c r="C239">
        <v>1.28629512616734E-4</v>
      </c>
      <c r="D239" s="1">
        <v>3.5777316751445103E-7</v>
      </c>
      <c r="F239">
        <f t="shared" si="9"/>
        <v>1.2862951261673402E-7</v>
      </c>
      <c r="G239">
        <f t="shared" si="10"/>
        <v>56182.71245784338</v>
      </c>
      <c r="H239">
        <f t="shared" si="11"/>
        <v>79595.993030286569</v>
      </c>
    </row>
    <row r="240" spans="1:8" x14ac:dyDescent="0.2">
      <c r="A240">
        <v>292.98872375488298</v>
      </c>
      <c r="B240">
        <v>869.77276611328102</v>
      </c>
      <c r="C240">
        <v>1.59910942476753E-4</v>
      </c>
      <c r="D240" s="1">
        <v>3.7556069391948601E-7</v>
      </c>
      <c r="F240">
        <f t="shared" si="9"/>
        <v>1.5991094247675301E-7</v>
      </c>
      <c r="G240">
        <f t="shared" si="10"/>
        <v>69214.317546819817</v>
      </c>
      <c r="H240">
        <f t="shared" si="11"/>
        <v>98952.954138693589</v>
      </c>
    </row>
    <row r="241" spans="1:8" x14ac:dyDescent="0.2">
      <c r="A241">
        <v>292.98956298828102</v>
      </c>
      <c r="B241">
        <v>1070.9589233398401</v>
      </c>
      <c r="C241">
        <v>1.9070390994237901E-4</v>
      </c>
      <c r="D241" s="1">
        <v>3.5575007947204301E-7</v>
      </c>
      <c r="F241">
        <f t="shared" si="9"/>
        <v>1.90703909942379E-7</v>
      </c>
      <c r="G241">
        <f t="shared" si="10"/>
        <v>85224.203248954873</v>
      </c>
      <c r="H241">
        <f t="shared" si="11"/>
        <v>118007.65452521239</v>
      </c>
    </row>
    <row r="242" spans="1:8" x14ac:dyDescent="0.2">
      <c r="A242">
        <v>292.98809814453102</v>
      </c>
      <c r="B242">
        <v>1318.89599609375</v>
      </c>
      <c r="C242">
        <v>2.2521691677356801E-4</v>
      </c>
      <c r="D242" s="1">
        <v>3.7662837026631798E-7</v>
      </c>
      <c r="F242">
        <f t="shared" si="9"/>
        <v>2.2521691677356802E-7</v>
      </c>
      <c r="G242">
        <f t="shared" si="10"/>
        <v>104954.4086012147</v>
      </c>
      <c r="H242">
        <f t="shared" si="11"/>
        <v>139364.31673518932</v>
      </c>
    </row>
    <row r="243" spans="1:8" x14ac:dyDescent="0.2">
      <c r="A243">
        <v>292.99021911621099</v>
      </c>
      <c r="B243">
        <v>1624.60656738281</v>
      </c>
      <c r="C243">
        <v>2.61236518124938E-4</v>
      </c>
      <c r="D243" s="1">
        <v>3.3533421718365799E-7</v>
      </c>
      <c r="F243">
        <f t="shared" si="9"/>
        <v>2.6123651812493799E-7</v>
      </c>
      <c r="G243">
        <f t="shared" si="10"/>
        <v>129282.08288926528</v>
      </c>
      <c r="H243">
        <f t="shared" si="11"/>
        <v>161653.26022718512</v>
      </c>
    </row>
    <row r="244" spans="1:8" x14ac:dyDescent="0.2">
      <c r="A244">
        <v>292.98889160156199</v>
      </c>
      <c r="B244">
        <v>2000.9657592773401</v>
      </c>
      <c r="C244">
        <v>2.9293773780829401E-4</v>
      </c>
      <c r="D244" s="1">
        <v>2.6807124960500601E-7</v>
      </c>
      <c r="F244">
        <f t="shared" si="9"/>
        <v>2.9293773780829403E-7</v>
      </c>
      <c r="G244">
        <f t="shared" si="10"/>
        <v>159231.79577330811</v>
      </c>
      <c r="H244">
        <f t="shared" si="11"/>
        <v>181269.98744348434</v>
      </c>
    </row>
    <row r="245" spans="1:8" x14ac:dyDescent="0.2">
      <c r="A245">
        <v>292.98986816406301</v>
      </c>
      <c r="B245">
        <v>2464.20776367187</v>
      </c>
      <c r="C245">
        <v>3.1536413389876002E-4</v>
      </c>
      <c r="D245" s="1">
        <v>3.54830952941344E-7</v>
      </c>
      <c r="F245">
        <f t="shared" si="9"/>
        <v>3.1536413389876003E-7</v>
      </c>
      <c r="G245">
        <f t="shared" si="10"/>
        <v>196095.42319690157</v>
      </c>
      <c r="H245">
        <f t="shared" si="11"/>
        <v>195147.45017033099</v>
      </c>
    </row>
    <row r="246" spans="1:8" x14ac:dyDescent="0.2">
      <c r="A246">
        <v>292.99130249023398</v>
      </c>
      <c r="B246">
        <v>3034.77978515625</v>
      </c>
      <c r="C246">
        <v>3.3393967691397399E-4</v>
      </c>
      <c r="D246" s="1">
        <v>3.5528503684774101E-7</v>
      </c>
      <c r="F246">
        <f t="shared" si="9"/>
        <v>3.3393967691397399E-7</v>
      </c>
      <c r="G246">
        <f t="shared" si="10"/>
        <v>241500.10200148867</v>
      </c>
      <c r="H246">
        <f t="shared" si="11"/>
        <v>206642.00349868133</v>
      </c>
    </row>
    <row r="247" spans="1:8" x14ac:dyDescent="0.2">
      <c r="A247">
        <v>292.98875427246099</v>
      </c>
      <c r="B247">
        <v>3737.6058349609398</v>
      </c>
      <c r="C247">
        <v>3.4977774184251299E-4</v>
      </c>
      <c r="D247" s="1">
        <v>3.6906870515145798E-7</v>
      </c>
      <c r="F247">
        <f t="shared" si="9"/>
        <v>3.4977774184251298E-7</v>
      </c>
      <c r="G247">
        <f t="shared" si="10"/>
        <v>297429.22198157216</v>
      </c>
      <c r="H247">
        <f t="shared" si="11"/>
        <v>216442.60430964336</v>
      </c>
    </row>
    <row r="248" spans="1:8" x14ac:dyDescent="0.2">
      <c r="A248">
        <v>292.99099731445301</v>
      </c>
      <c r="B248">
        <v>4603.0383300781205</v>
      </c>
      <c r="C248">
        <v>3.6260406723385898E-4</v>
      </c>
      <c r="D248" s="1">
        <v>2.3033809567175201E-7</v>
      </c>
      <c r="F248">
        <f t="shared" si="9"/>
        <v>3.6260406723385898E-7</v>
      </c>
      <c r="G248">
        <f t="shared" si="10"/>
        <v>366298.15173669811</v>
      </c>
      <c r="H248">
        <f t="shared" si="11"/>
        <v>224379.53950969904</v>
      </c>
    </row>
    <row r="249" spans="1:8" x14ac:dyDescent="0.2">
      <c r="A249">
        <v>292.99020385742199</v>
      </c>
      <c r="B249">
        <v>5669.11279296875</v>
      </c>
      <c r="C249">
        <v>3.7299742737693199E-4</v>
      </c>
      <c r="D249" s="1">
        <v>2.9741778947588698E-7</v>
      </c>
      <c r="F249">
        <f t="shared" si="9"/>
        <v>3.7299742737693199E-7</v>
      </c>
      <c r="G249">
        <f t="shared" si="10"/>
        <v>451133.66197323863</v>
      </c>
      <c r="H249">
        <f t="shared" si="11"/>
        <v>230810.95485661278</v>
      </c>
    </row>
    <row r="250" spans="1:8" x14ac:dyDescent="0.2">
      <c r="A250">
        <v>292.98944091796898</v>
      </c>
      <c r="B250">
        <v>6981.7890625</v>
      </c>
      <c r="C250">
        <v>3.7956701764537098E-4</v>
      </c>
      <c r="D250" s="1">
        <v>3.3334150061648602E-7</v>
      </c>
      <c r="F250">
        <f t="shared" si="9"/>
        <v>3.7956701764537101E-7</v>
      </c>
      <c r="G250">
        <f t="shared" si="10"/>
        <v>555593.12046090246</v>
      </c>
      <c r="H250">
        <f t="shared" si="11"/>
        <v>234876.21990023143</v>
      </c>
    </row>
    <row r="251" spans="1:8" x14ac:dyDescent="0.2">
      <c r="A251">
        <v>292.99147033691401</v>
      </c>
      <c r="B251">
        <v>8598.32373046875</v>
      </c>
      <c r="C251">
        <v>3.8270812385995598E-4</v>
      </c>
      <c r="D251" s="1">
        <v>3.3694119458486602E-7</v>
      </c>
      <c r="F251">
        <f t="shared" si="9"/>
        <v>3.8270812385995595E-7</v>
      </c>
      <c r="G251">
        <f t="shared" si="10"/>
        <v>684232.86200422363</v>
      </c>
      <c r="H251">
        <f t="shared" si="11"/>
        <v>236819.93766202108</v>
      </c>
    </row>
    <row r="252" spans="1:8" x14ac:dyDescent="0.2">
      <c r="A252">
        <v>292.98971557617199</v>
      </c>
      <c r="B252">
        <v>10589.229980468799</v>
      </c>
      <c r="C252">
        <v>3.8236761446227299E-4</v>
      </c>
      <c r="D252" s="1">
        <v>3.32582064370366E-7</v>
      </c>
      <c r="F252">
        <f t="shared" si="9"/>
        <v>3.8236761446227297E-7</v>
      </c>
      <c r="G252">
        <f t="shared" si="10"/>
        <v>842664.14746425184</v>
      </c>
      <c r="H252">
        <f t="shared" si="11"/>
        <v>236609.23031272498</v>
      </c>
    </row>
    <row r="253" spans="1:8" x14ac:dyDescent="0.2">
      <c r="A253">
        <v>292.99166870117199</v>
      </c>
      <c r="B253">
        <v>13041.315917968799</v>
      </c>
      <c r="C253">
        <v>3.7704951279657898E-4</v>
      </c>
      <c r="D253" s="1">
        <v>4.36423471726142E-7</v>
      </c>
      <c r="F253">
        <f t="shared" si="9"/>
        <v>3.7704951279657899E-7</v>
      </c>
      <c r="G253">
        <f t="shared" si="10"/>
        <v>1037794.9463838765</v>
      </c>
      <c r="H253">
        <f t="shared" si="11"/>
        <v>233318.38690901714</v>
      </c>
    </row>
    <row r="254" spans="1:8" x14ac:dyDescent="0.2">
      <c r="A254">
        <v>292.99180603027298</v>
      </c>
      <c r="B254">
        <v>16060.9873046875</v>
      </c>
      <c r="C254">
        <v>3.6582996070842901E-4</v>
      </c>
      <c r="D254" s="1">
        <v>3.6958762294169202E-7</v>
      </c>
      <c r="F254">
        <f t="shared" si="9"/>
        <v>3.6582996070842903E-7</v>
      </c>
      <c r="G254">
        <f t="shared" si="10"/>
        <v>1278092.7602385962</v>
      </c>
      <c r="H254">
        <f t="shared" si="11"/>
        <v>226375.72366133612</v>
      </c>
    </row>
    <row r="255" spans="1:8" x14ac:dyDescent="0.2">
      <c r="A255">
        <v>292.99255371093699</v>
      </c>
      <c r="B255">
        <v>19779.5537109375</v>
      </c>
      <c r="C255">
        <v>3.4797075608736201E-4</v>
      </c>
      <c r="D255" s="1">
        <v>4.7778795520207298E-7</v>
      </c>
      <c r="F255">
        <f t="shared" si="9"/>
        <v>3.4797075608736203E-7</v>
      </c>
      <c r="G255">
        <f t="shared" si="10"/>
        <v>1574006.8726236725</v>
      </c>
      <c r="H255">
        <f t="shared" si="11"/>
        <v>215324.44081320395</v>
      </c>
    </row>
    <row r="256" spans="1:8" x14ac:dyDescent="0.2">
      <c r="A256">
        <v>292.99221801757801</v>
      </c>
      <c r="B256">
        <v>24359.2392578125</v>
      </c>
      <c r="C256">
        <v>3.21470581499041E-4</v>
      </c>
      <c r="D256" s="1">
        <v>4.27063042591848E-7</v>
      </c>
      <c r="F256">
        <f t="shared" si="9"/>
        <v>3.2147058149904102E-7</v>
      </c>
      <c r="G256">
        <f t="shared" si="10"/>
        <v>1938446.6689195058</v>
      </c>
      <c r="H256">
        <f t="shared" si="11"/>
        <v>198926.12234862038</v>
      </c>
    </row>
    <row r="257" spans="1:8" x14ac:dyDescent="0.2">
      <c r="A257">
        <v>292.99308776855497</v>
      </c>
      <c r="B257">
        <v>29999.697265625</v>
      </c>
      <c r="C257">
        <v>2.8350386441860999E-4</v>
      </c>
      <c r="D257" s="1">
        <v>5.4339873710124503E-7</v>
      </c>
      <c r="F257">
        <f t="shared" si="9"/>
        <v>2.8350386441860999E-7</v>
      </c>
      <c r="G257">
        <f t="shared" si="10"/>
        <v>2387300.0555423177</v>
      </c>
      <c r="H257">
        <f t="shared" si="11"/>
        <v>175432.30287718048</v>
      </c>
    </row>
    <row r="258" spans="1:8" x14ac:dyDescent="0.2">
      <c r="D258" s="1"/>
    </row>
    <row r="259" spans="1:8" x14ac:dyDescent="0.2">
      <c r="D259" s="1"/>
    </row>
    <row r="260" spans="1:8" x14ac:dyDescent="0.2">
      <c r="D260" s="1"/>
    </row>
    <row r="261" spans="1:8" x14ac:dyDescent="0.2">
      <c r="D261" s="1"/>
    </row>
    <row r="262" spans="1:8" x14ac:dyDescent="0.2">
      <c r="D262" s="1"/>
    </row>
    <row r="263" spans="1:8" x14ac:dyDescent="0.2">
      <c r="D263" s="1"/>
    </row>
    <row r="264" spans="1:8" x14ac:dyDescent="0.2">
      <c r="D264" s="1"/>
    </row>
    <row r="265" spans="1:8" x14ac:dyDescent="0.2">
      <c r="D265" s="1"/>
    </row>
    <row r="266" spans="1:8" x14ac:dyDescent="0.2">
      <c r="D266" s="1"/>
    </row>
    <row r="267" spans="1:8" x14ac:dyDescent="0.2">
      <c r="D267" s="1"/>
    </row>
    <row r="268" spans="1:8" x14ac:dyDescent="0.2">
      <c r="D268" s="1"/>
    </row>
    <row r="269" spans="1:8" x14ac:dyDescent="0.2">
      <c r="D269" s="1"/>
    </row>
    <row r="270" spans="1:8" x14ac:dyDescent="0.2">
      <c r="D270" s="1"/>
    </row>
    <row r="271" spans="1:8" x14ac:dyDescent="0.2">
      <c r="D271" s="1"/>
    </row>
    <row r="272" spans="1:8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  <row r="428" spans="4:4" x14ac:dyDescent="0.2">
      <c r="D428" s="1"/>
    </row>
    <row r="429" spans="4:4" x14ac:dyDescent="0.2">
      <c r="D429" s="1"/>
    </row>
    <row r="430" spans="4:4" x14ac:dyDescent="0.2">
      <c r="D430" s="1"/>
    </row>
    <row r="431" spans="4:4" x14ac:dyDescent="0.2">
      <c r="D431" s="1"/>
    </row>
    <row r="432" spans="4:4" x14ac:dyDescent="0.2">
      <c r="D432" s="1"/>
    </row>
    <row r="433" spans="4:4" x14ac:dyDescent="0.2">
      <c r="D433" s="1"/>
    </row>
    <row r="434" spans="4:4" x14ac:dyDescent="0.2">
      <c r="D434" s="1"/>
    </row>
    <row r="435" spans="4:4" x14ac:dyDescent="0.2">
      <c r="D435" s="1"/>
    </row>
    <row r="436" spans="4:4" x14ac:dyDescent="0.2">
      <c r="D436" s="1"/>
    </row>
    <row r="437" spans="4:4" x14ac:dyDescent="0.2">
      <c r="D437" s="1"/>
    </row>
    <row r="438" spans="4:4" x14ac:dyDescent="0.2">
      <c r="D438" s="1"/>
    </row>
    <row r="439" spans="4:4" x14ac:dyDescent="0.2">
      <c r="D439" s="1"/>
    </row>
    <row r="440" spans="4:4" x14ac:dyDescent="0.2">
      <c r="D440" s="1"/>
    </row>
    <row r="441" spans="4:4" x14ac:dyDescent="0.2">
      <c r="D441" s="1"/>
    </row>
    <row r="442" spans="4:4" x14ac:dyDescent="0.2">
      <c r="D442" s="1"/>
    </row>
    <row r="443" spans="4:4" x14ac:dyDescent="0.2">
      <c r="D443" s="1"/>
    </row>
    <row r="444" spans="4:4" x14ac:dyDescent="0.2">
      <c r="D444" s="1"/>
    </row>
    <row r="445" spans="4:4" x14ac:dyDescent="0.2">
      <c r="D445" s="1"/>
    </row>
    <row r="446" spans="4:4" x14ac:dyDescent="0.2">
      <c r="D446" s="1"/>
    </row>
    <row r="447" spans="4:4" x14ac:dyDescent="0.2">
      <c r="D447" s="1"/>
    </row>
    <row r="448" spans="4:4" x14ac:dyDescent="0.2">
      <c r="D448" s="1"/>
    </row>
    <row r="449" spans="4:4" x14ac:dyDescent="0.2">
      <c r="D449" s="1"/>
    </row>
    <row r="450" spans="4:4" x14ac:dyDescent="0.2">
      <c r="D450" s="1"/>
    </row>
    <row r="451" spans="4:4" x14ac:dyDescent="0.2">
      <c r="D451" s="1"/>
    </row>
    <row r="452" spans="4:4" x14ac:dyDescent="0.2">
      <c r="D452" s="1"/>
    </row>
    <row r="453" spans="4:4" x14ac:dyDescent="0.2">
      <c r="D453" s="1"/>
    </row>
    <row r="454" spans="4:4" x14ac:dyDescent="0.2">
      <c r="D454" s="1"/>
    </row>
    <row r="455" spans="4:4" x14ac:dyDescent="0.2">
      <c r="D455" s="1"/>
    </row>
    <row r="456" spans="4:4" x14ac:dyDescent="0.2">
      <c r="D456" s="1"/>
    </row>
    <row r="457" spans="4:4" x14ac:dyDescent="0.2">
      <c r="D457" s="1"/>
    </row>
    <row r="458" spans="4:4" x14ac:dyDescent="0.2">
      <c r="D458" s="1"/>
    </row>
    <row r="459" spans="4:4" x14ac:dyDescent="0.2">
      <c r="D459" s="1"/>
    </row>
    <row r="460" spans="4:4" x14ac:dyDescent="0.2">
      <c r="D460" s="1"/>
    </row>
    <row r="461" spans="4:4" x14ac:dyDescent="0.2">
      <c r="D461" s="1"/>
    </row>
    <row r="462" spans="4:4" x14ac:dyDescent="0.2">
      <c r="D462" s="1"/>
    </row>
    <row r="463" spans="4:4" x14ac:dyDescent="0.2">
      <c r="D463" s="1"/>
    </row>
    <row r="464" spans="4:4" x14ac:dyDescent="0.2">
      <c r="D464" s="1"/>
    </row>
    <row r="465" spans="4:4" x14ac:dyDescent="0.2">
      <c r="D465" s="1"/>
    </row>
    <row r="466" spans="4:4" x14ac:dyDescent="0.2">
      <c r="D466" s="1"/>
    </row>
    <row r="467" spans="4:4" x14ac:dyDescent="0.2">
      <c r="D467" s="1"/>
    </row>
    <row r="468" spans="4:4" x14ac:dyDescent="0.2">
      <c r="D468" s="1"/>
    </row>
    <row r="469" spans="4:4" x14ac:dyDescent="0.2">
      <c r="D469" s="1"/>
    </row>
    <row r="470" spans="4:4" x14ac:dyDescent="0.2">
      <c r="D470" s="1"/>
    </row>
    <row r="471" spans="4:4" x14ac:dyDescent="0.2">
      <c r="D471" s="1"/>
    </row>
    <row r="472" spans="4:4" x14ac:dyDescent="0.2">
      <c r="D472" s="1"/>
    </row>
    <row r="473" spans="4:4" x14ac:dyDescent="0.2">
      <c r="D473" s="1"/>
    </row>
    <row r="474" spans="4:4" x14ac:dyDescent="0.2">
      <c r="D474" s="1"/>
    </row>
    <row r="475" spans="4:4" x14ac:dyDescent="0.2">
      <c r="D475" s="1"/>
    </row>
    <row r="476" spans="4:4" x14ac:dyDescent="0.2">
      <c r="D476" s="1"/>
    </row>
    <row r="477" spans="4:4" x14ac:dyDescent="0.2">
      <c r="D477" s="1"/>
    </row>
    <row r="478" spans="4:4" x14ac:dyDescent="0.2">
      <c r="D478" s="1"/>
    </row>
    <row r="479" spans="4:4" x14ac:dyDescent="0.2">
      <c r="D479" s="1"/>
    </row>
    <row r="480" spans="4:4" x14ac:dyDescent="0.2">
      <c r="D480" s="1"/>
    </row>
    <row r="482" spans="4:4" x14ac:dyDescent="0.2">
      <c r="D482" s="1"/>
    </row>
    <row r="483" spans="4:4" x14ac:dyDescent="0.2">
      <c r="D483" s="1"/>
    </row>
    <row r="484" spans="4:4" x14ac:dyDescent="0.2">
      <c r="D484" s="1"/>
    </row>
    <row r="485" spans="4:4" x14ac:dyDescent="0.2">
      <c r="D485" s="1"/>
    </row>
    <row r="486" spans="4:4" x14ac:dyDescent="0.2">
      <c r="D486" s="1"/>
    </row>
    <row r="487" spans="4:4" x14ac:dyDescent="0.2">
      <c r="D487" s="1"/>
    </row>
    <row r="488" spans="4:4" x14ac:dyDescent="0.2">
      <c r="D488" s="1"/>
    </row>
    <row r="489" spans="4:4" x14ac:dyDescent="0.2">
      <c r="D489" s="1"/>
    </row>
    <row r="490" spans="4:4" x14ac:dyDescent="0.2">
      <c r="D490" s="1"/>
    </row>
    <row r="491" spans="4:4" x14ac:dyDescent="0.2">
      <c r="D491" s="1"/>
    </row>
    <row r="492" spans="4:4" x14ac:dyDescent="0.2">
      <c r="D492" s="1"/>
    </row>
    <row r="493" spans="4:4" x14ac:dyDescent="0.2">
      <c r="D493" s="1"/>
    </row>
    <row r="494" spans="4:4" x14ac:dyDescent="0.2">
      <c r="D494" s="1"/>
    </row>
    <row r="497" spans="4:4" x14ac:dyDescent="0.2">
      <c r="D497" s="1"/>
    </row>
    <row r="499" spans="4:4" x14ac:dyDescent="0.2">
      <c r="D499" s="1"/>
    </row>
    <row r="500" spans="4:4" x14ac:dyDescent="0.2">
      <c r="D500" s="1"/>
    </row>
    <row r="501" spans="4:4" x14ac:dyDescent="0.2">
      <c r="D501" s="1"/>
    </row>
    <row r="503" spans="4:4" x14ac:dyDescent="0.2">
      <c r="D503" s="1"/>
    </row>
    <row r="504" spans="4:4" x14ac:dyDescent="0.2">
      <c r="D504" s="1"/>
    </row>
    <row r="506" spans="4:4" x14ac:dyDescent="0.2">
      <c r="D506" s="1"/>
    </row>
    <row r="507" spans="4:4" x14ac:dyDescent="0.2">
      <c r="D507" s="1"/>
    </row>
    <row r="508" spans="4:4" x14ac:dyDescent="0.2">
      <c r="D508" s="1"/>
    </row>
    <row r="510" spans="4:4" x14ac:dyDescent="0.2">
      <c r="D510" s="1"/>
    </row>
    <row r="511" spans="4:4" x14ac:dyDescent="0.2">
      <c r="D511" s="1"/>
    </row>
    <row r="512" spans="4:4" x14ac:dyDescent="0.2">
      <c r="D512" s="1"/>
    </row>
    <row r="513" spans="4:4" x14ac:dyDescent="0.2">
      <c r="D513" s="1"/>
    </row>
    <row r="516" spans="4:4" x14ac:dyDescent="0.2">
      <c r="D516" s="1"/>
    </row>
    <row r="517" spans="4:4" x14ac:dyDescent="0.2">
      <c r="D517" s="1"/>
    </row>
    <row r="519" spans="4:4" x14ac:dyDescent="0.2">
      <c r="D519" s="1"/>
    </row>
    <row r="520" spans="4:4" x14ac:dyDescent="0.2">
      <c r="D520" s="1"/>
    </row>
    <row r="522" spans="4:4" x14ac:dyDescent="0.2">
      <c r="D522" s="1"/>
    </row>
    <row r="523" spans="4:4" x14ac:dyDescent="0.2">
      <c r="D523" s="1"/>
    </row>
    <row r="524" spans="4:4" x14ac:dyDescent="0.2">
      <c r="D524" s="1"/>
    </row>
    <row r="526" spans="4:4" x14ac:dyDescent="0.2">
      <c r="D526" s="1"/>
    </row>
    <row r="527" spans="4:4" x14ac:dyDescent="0.2">
      <c r="D527" s="1"/>
    </row>
    <row r="529" spans="4:4" x14ac:dyDescent="0.2">
      <c r="D529" s="1"/>
    </row>
    <row r="530" spans="4:4" x14ac:dyDescent="0.2">
      <c r="D530" s="1"/>
    </row>
    <row r="542" spans="4:4" x14ac:dyDescent="0.2">
      <c r="D542" s="1"/>
    </row>
    <row r="560" spans="4:4" x14ac:dyDescent="0.2">
      <c r="D560" s="1"/>
    </row>
    <row r="728" spans="4:4" x14ac:dyDescent="0.2">
      <c r="D728" s="1"/>
    </row>
    <row r="732" spans="4:4" x14ac:dyDescent="0.2">
      <c r="D732" s="1"/>
    </row>
    <row r="745" spans="4:4" x14ac:dyDescent="0.2">
      <c r="D745" s="1"/>
    </row>
    <row r="749" spans="4:4" x14ac:dyDescent="0.2">
      <c r="D749" s="1"/>
    </row>
    <row r="759" spans="4:4" x14ac:dyDescent="0.2">
      <c r="D759" s="1"/>
    </row>
    <row r="770" spans="4:4" x14ac:dyDescent="0.2">
      <c r="D770" s="1"/>
    </row>
    <row r="771" spans="4:4" x14ac:dyDescent="0.2">
      <c r="D771" s="1"/>
    </row>
    <row r="772" spans="4:4" x14ac:dyDescent="0.2">
      <c r="D772" s="1"/>
    </row>
    <row r="773" spans="4:4" x14ac:dyDescent="0.2">
      <c r="D773" s="1"/>
    </row>
    <row r="775" spans="4:4" x14ac:dyDescent="0.2">
      <c r="D775" s="1"/>
    </row>
    <row r="776" spans="4:4" x14ac:dyDescent="0.2">
      <c r="D776" s="1"/>
    </row>
    <row r="777" spans="4:4" x14ac:dyDescent="0.2">
      <c r="D777" s="1"/>
    </row>
    <row r="779" spans="4:4" x14ac:dyDescent="0.2">
      <c r="D779" s="1"/>
    </row>
    <row r="780" spans="4:4" x14ac:dyDescent="0.2">
      <c r="D780" s="1"/>
    </row>
    <row r="781" spans="4:4" x14ac:dyDescent="0.2">
      <c r="D781" s="1"/>
    </row>
    <row r="782" spans="4:4" x14ac:dyDescent="0.2">
      <c r="D782" s="1"/>
    </row>
    <row r="783" spans="4:4" x14ac:dyDescent="0.2">
      <c r="D783" s="1"/>
    </row>
    <row r="784" spans="4:4" x14ac:dyDescent="0.2">
      <c r="D784" s="1"/>
    </row>
    <row r="785" spans="4:4" x14ac:dyDescent="0.2">
      <c r="D785" s="1"/>
    </row>
    <row r="786" spans="4:4" x14ac:dyDescent="0.2">
      <c r="D786" s="1"/>
    </row>
    <row r="787" spans="4:4" x14ac:dyDescent="0.2">
      <c r="D787" s="1"/>
    </row>
    <row r="789" spans="4:4" x14ac:dyDescent="0.2">
      <c r="D789" s="1"/>
    </row>
    <row r="790" spans="4:4" x14ac:dyDescent="0.2">
      <c r="D790" s="1"/>
    </row>
    <row r="791" spans="4:4" x14ac:dyDescent="0.2">
      <c r="D791" s="1"/>
    </row>
    <row r="793" spans="4:4" x14ac:dyDescent="0.2">
      <c r="D793" s="1"/>
    </row>
    <row r="796" spans="4:4" x14ac:dyDescent="0.2">
      <c r="D796" s="1"/>
    </row>
    <row r="797" spans="4:4" x14ac:dyDescent="0.2">
      <c r="D797" s="1"/>
    </row>
    <row r="799" spans="4:4" x14ac:dyDescent="0.2">
      <c r="D799" s="1"/>
    </row>
    <row r="800" spans="4:4" x14ac:dyDescent="0.2">
      <c r="D800" s="1"/>
    </row>
    <row r="801" spans="4:4" x14ac:dyDescent="0.2">
      <c r="D801" s="1"/>
    </row>
    <row r="803" spans="4:4" x14ac:dyDescent="0.2">
      <c r="D803" s="1"/>
    </row>
    <row r="804" spans="4:4" x14ac:dyDescent="0.2">
      <c r="D804" s="1"/>
    </row>
    <row r="807" spans="4:4" x14ac:dyDescent="0.2">
      <c r="D807" s="1"/>
    </row>
    <row r="810" spans="4:4" x14ac:dyDescent="0.2">
      <c r="D810" s="1"/>
    </row>
    <row r="811" spans="4:4" x14ac:dyDescent="0.2">
      <c r="D811" s="1"/>
    </row>
    <row r="812" spans="4:4" x14ac:dyDescent="0.2">
      <c r="D812" s="1"/>
    </row>
    <row r="813" spans="4:4" x14ac:dyDescent="0.2">
      <c r="D813" s="1"/>
    </row>
    <row r="815" spans="4:4" x14ac:dyDescent="0.2">
      <c r="D815" s="1"/>
    </row>
    <row r="816" spans="4:4" x14ac:dyDescent="0.2">
      <c r="D816" s="1"/>
    </row>
    <row r="817" spans="4:4" x14ac:dyDescent="0.2">
      <c r="D817" s="1"/>
    </row>
    <row r="818" spans="4:4" x14ac:dyDescent="0.2">
      <c r="D818" s="1"/>
    </row>
    <row r="819" spans="4:4" x14ac:dyDescent="0.2">
      <c r="D819" s="1"/>
    </row>
    <row r="820" spans="4:4" x14ac:dyDescent="0.2">
      <c r="D820" s="1"/>
    </row>
    <row r="823" spans="4:4" x14ac:dyDescent="0.2">
      <c r="D823" s="1"/>
    </row>
    <row r="824" spans="4:4" x14ac:dyDescent="0.2">
      <c r="D824" s="1"/>
    </row>
    <row r="825" spans="4:4" x14ac:dyDescent="0.2">
      <c r="D825" s="1"/>
    </row>
    <row r="826" spans="4:4" x14ac:dyDescent="0.2">
      <c r="D826" s="1"/>
    </row>
    <row r="827" spans="4:4" x14ac:dyDescent="0.2">
      <c r="D827" s="1"/>
    </row>
    <row r="828" spans="4:4" x14ac:dyDescent="0.2">
      <c r="D828" s="1"/>
    </row>
    <row r="829" spans="4:4" x14ac:dyDescent="0.2">
      <c r="D829" s="1"/>
    </row>
    <row r="830" spans="4:4" x14ac:dyDescent="0.2">
      <c r="D830" s="1"/>
    </row>
    <row r="831" spans="4:4" x14ac:dyDescent="0.2">
      <c r="D831" s="1"/>
    </row>
    <row r="832" spans="4:4" x14ac:dyDescent="0.2">
      <c r="D832" s="1"/>
    </row>
    <row r="833" spans="4:4" x14ac:dyDescent="0.2">
      <c r="D833" s="1"/>
    </row>
    <row r="834" spans="4:4" x14ac:dyDescent="0.2">
      <c r="D834" s="1"/>
    </row>
    <row r="836" spans="4:4" x14ac:dyDescent="0.2">
      <c r="D836" s="1"/>
    </row>
    <row r="837" spans="4:4" x14ac:dyDescent="0.2">
      <c r="D837" s="1"/>
    </row>
    <row r="838" spans="4:4" x14ac:dyDescent="0.2">
      <c r="D838" s="1"/>
    </row>
    <row r="839" spans="4:4" x14ac:dyDescent="0.2">
      <c r="D839" s="1"/>
    </row>
    <row r="840" spans="4:4" x14ac:dyDescent="0.2">
      <c r="D840" s="1"/>
    </row>
    <row r="841" spans="4:4" x14ac:dyDescent="0.2">
      <c r="D841" s="1"/>
    </row>
    <row r="842" spans="4:4" x14ac:dyDescent="0.2">
      <c r="D842" s="1"/>
    </row>
    <row r="843" spans="4:4" x14ac:dyDescent="0.2">
      <c r="D843" s="1"/>
    </row>
    <row r="844" spans="4:4" x14ac:dyDescent="0.2">
      <c r="D844" s="1"/>
    </row>
    <row r="845" spans="4:4" x14ac:dyDescent="0.2">
      <c r="D845" s="1"/>
    </row>
    <row r="846" spans="4:4" x14ac:dyDescent="0.2">
      <c r="D846" s="1"/>
    </row>
    <row r="847" spans="4:4" x14ac:dyDescent="0.2">
      <c r="D847" s="1"/>
    </row>
    <row r="848" spans="4:4" x14ac:dyDescent="0.2">
      <c r="D848" s="1"/>
    </row>
    <row r="849" spans="4:4" x14ac:dyDescent="0.2">
      <c r="D849" s="1"/>
    </row>
    <row r="850" spans="4:4" x14ac:dyDescent="0.2">
      <c r="D850" s="1"/>
    </row>
    <row r="851" spans="4:4" x14ac:dyDescent="0.2">
      <c r="D851" s="1"/>
    </row>
    <row r="852" spans="4:4" x14ac:dyDescent="0.2">
      <c r="D852" s="1"/>
    </row>
    <row r="853" spans="4:4" x14ac:dyDescent="0.2">
      <c r="D853" s="1"/>
    </row>
    <row r="854" spans="4:4" x14ac:dyDescent="0.2">
      <c r="D854" s="1"/>
    </row>
    <row r="855" spans="4:4" x14ac:dyDescent="0.2">
      <c r="D855" s="1"/>
    </row>
    <row r="856" spans="4:4" x14ac:dyDescent="0.2">
      <c r="D856" s="1"/>
    </row>
    <row r="857" spans="4:4" x14ac:dyDescent="0.2">
      <c r="D857" s="1"/>
    </row>
    <row r="858" spans="4:4" x14ac:dyDescent="0.2">
      <c r="D858" s="1"/>
    </row>
    <row r="859" spans="4:4" x14ac:dyDescent="0.2">
      <c r="D859" s="1"/>
    </row>
    <row r="860" spans="4:4" x14ac:dyDescent="0.2">
      <c r="D860" s="1"/>
    </row>
    <row r="861" spans="4:4" x14ac:dyDescent="0.2">
      <c r="D861" s="1"/>
    </row>
    <row r="862" spans="4:4" x14ac:dyDescent="0.2">
      <c r="D862" s="1"/>
    </row>
    <row r="863" spans="4:4" x14ac:dyDescent="0.2">
      <c r="D863" s="1"/>
    </row>
    <row r="864" spans="4:4" x14ac:dyDescent="0.2">
      <c r="D864" s="1"/>
    </row>
    <row r="865" spans="4:4" x14ac:dyDescent="0.2">
      <c r="D865" s="1"/>
    </row>
    <row r="866" spans="4:4" x14ac:dyDescent="0.2">
      <c r="D866" s="1"/>
    </row>
    <row r="867" spans="4:4" x14ac:dyDescent="0.2">
      <c r="D867" s="1"/>
    </row>
    <row r="868" spans="4:4" x14ac:dyDescent="0.2">
      <c r="D868" s="1"/>
    </row>
    <row r="869" spans="4:4" x14ac:dyDescent="0.2">
      <c r="D869" s="1"/>
    </row>
    <row r="870" spans="4:4" x14ac:dyDescent="0.2">
      <c r="D870" s="1"/>
    </row>
    <row r="871" spans="4:4" x14ac:dyDescent="0.2">
      <c r="D871" s="1"/>
    </row>
    <row r="872" spans="4:4" x14ac:dyDescent="0.2">
      <c r="D872" s="1"/>
    </row>
    <row r="873" spans="4:4" x14ac:dyDescent="0.2">
      <c r="D873" s="1"/>
    </row>
    <row r="874" spans="4:4" x14ac:dyDescent="0.2">
      <c r="D874" s="1"/>
    </row>
    <row r="875" spans="4:4" x14ac:dyDescent="0.2">
      <c r="D875" s="1"/>
    </row>
    <row r="876" spans="4:4" x14ac:dyDescent="0.2">
      <c r="D876" s="1"/>
    </row>
    <row r="877" spans="4:4" x14ac:dyDescent="0.2">
      <c r="D877" s="1"/>
    </row>
    <row r="878" spans="4:4" x14ac:dyDescent="0.2">
      <c r="D878" s="1"/>
    </row>
    <row r="879" spans="4:4" x14ac:dyDescent="0.2">
      <c r="D879" s="1"/>
    </row>
    <row r="880" spans="4:4" x14ac:dyDescent="0.2">
      <c r="D880" s="1"/>
    </row>
    <row r="881" spans="4:4" x14ac:dyDescent="0.2">
      <c r="D881" s="1"/>
    </row>
    <row r="882" spans="4:4" x14ac:dyDescent="0.2">
      <c r="D882" s="1"/>
    </row>
    <row r="883" spans="4:4" x14ac:dyDescent="0.2">
      <c r="D883" s="1"/>
    </row>
    <row r="884" spans="4:4" x14ac:dyDescent="0.2">
      <c r="D884" s="1"/>
    </row>
    <row r="885" spans="4:4" x14ac:dyDescent="0.2">
      <c r="D885" s="1"/>
    </row>
    <row r="886" spans="4:4" x14ac:dyDescent="0.2">
      <c r="D886" s="1"/>
    </row>
    <row r="887" spans="4:4" x14ac:dyDescent="0.2">
      <c r="D887" s="1"/>
    </row>
    <row r="888" spans="4:4" x14ac:dyDescent="0.2">
      <c r="D888" s="1"/>
    </row>
    <row r="889" spans="4:4" x14ac:dyDescent="0.2">
      <c r="D889" s="1"/>
    </row>
    <row r="890" spans="4:4" x14ac:dyDescent="0.2">
      <c r="D890" s="1"/>
    </row>
    <row r="891" spans="4:4" x14ac:dyDescent="0.2">
      <c r="D891" s="1"/>
    </row>
    <row r="892" spans="4:4" x14ac:dyDescent="0.2">
      <c r="D892" s="1"/>
    </row>
    <row r="893" spans="4:4" x14ac:dyDescent="0.2">
      <c r="D893" s="1"/>
    </row>
    <row r="894" spans="4:4" x14ac:dyDescent="0.2">
      <c r="D894" s="1"/>
    </row>
    <row r="895" spans="4:4" x14ac:dyDescent="0.2">
      <c r="D895" s="1"/>
    </row>
    <row r="896" spans="4:4" x14ac:dyDescent="0.2">
      <c r="D896" s="1"/>
    </row>
    <row r="897" spans="4:4" x14ac:dyDescent="0.2">
      <c r="D897" s="1"/>
    </row>
    <row r="898" spans="4:4" x14ac:dyDescent="0.2">
      <c r="D898" s="1"/>
    </row>
    <row r="899" spans="4:4" x14ac:dyDescent="0.2">
      <c r="D899" s="1"/>
    </row>
    <row r="900" spans="4:4" x14ac:dyDescent="0.2">
      <c r="D900" s="1"/>
    </row>
    <row r="901" spans="4:4" x14ac:dyDescent="0.2">
      <c r="D901" s="1"/>
    </row>
    <row r="902" spans="4:4" x14ac:dyDescent="0.2">
      <c r="D902" s="1"/>
    </row>
    <row r="903" spans="4:4" x14ac:dyDescent="0.2">
      <c r="D903" s="1"/>
    </row>
    <row r="904" spans="4:4" x14ac:dyDescent="0.2">
      <c r="D904" s="1"/>
    </row>
    <row r="905" spans="4:4" x14ac:dyDescent="0.2">
      <c r="D905" s="1"/>
    </row>
    <row r="906" spans="4:4" x14ac:dyDescent="0.2">
      <c r="D906" s="1"/>
    </row>
    <row r="907" spans="4:4" x14ac:dyDescent="0.2">
      <c r="D907" s="1"/>
    </row>
    <row r="908" spans="4:4" x14ac:dyDescent="0.2">
      <c r="D908" s="1"/>
    </row>
    <row r="909" spans="4:4" x14ac:dyDescent="0.2">
      <c r="D909" s="1"/>
    </row>
    <row r="910" spans="4:4" x14ac:dyDescent="0.2">
      <c r="D910" s="1"/>
    </row>
    <row r="911" spans="4:4" x14ac:dyDescent="0.2">
      <c r="D911" s="1"/>
    </row>
    <row r="912" spans="4:4" x14ac:dyDescent="0.2">
      <c r="D912" s="1"/>
    </row>
    <row r="913" spans="4:4" x14ac:dyDescent="0.2">
      <c r="D913" s="1"/>
    </row>
    <row r="914" spans="4:4" x14ac:dyDescent="0.2">
      <c r="D914" s="1"/>
    </row>
    <row r="915" spans="4:4" x14ac:dyDescent="0.2">
      <c r="D915" s="1"/>
    </row>
    <row r="916" spans="4:4" x14ac:dyDescent="0.2">
      <c r="D916" s="1"/>
    </row>
    <row r="917" spans="4:4" x14ac:dyDescent="0.2">
      <c r="D917" s="1"/>
    </row>
    <row r="918" spans="4:4" x14ac:dyDescent="0.2">
      <c r="D918" s="1"/>
    </row>
    <row r="919" spans="4:4" x14ac:dyDescent="0.2">
      <c r="D919" s="1"/>
    </row>
    <row r="920" spans="4:4" x14ac:dyDescent="0.2">
      <c r="D920" s="1"/>
    </row>
    <row r="921" spans="4:4" x14ac:dyDescent="0.2">
      <c r="D921" s="1"/>
    </row>
    <row r="922" spans="4:4" x14ac:dyDescent="0.2">
      <c r="D922" s="1"/>
    </row>
    <row r="923" spans="4:4" x14ac:dyDescent="0.2">
      <c r="D923" s="1"/>
    </row>
    <row r="924" spans="4:4" x14ac:dyDescent="0.2">
      <c r="D924" s="1"/>
    </row>
    <row r="925" spans="4:4" x14ac:dyDescent="0.2">
      <c r="D925" s="1"/>
    </row>
    <row r="926" spans="4:4" x14ac:dyDescent="0.2">
      <c r="D926" s="1"/>
    </row>
    <row r="927" spans="4:4" x14ac:dyDescent="0.2">
      <c r="D927" s="1"/>
    </row>
    <row r="928" spans="4:4" x14ac:dyDescent="0.2">
      <c r="D928" s="1"/>
    </row>
    <row r="929" spans="4:4" x14ac:dyDescent="0.2">
      <c r="D929" s="1"/>
    </row>
    <row r="930" spans="4:4" x14ac:dyDescent="0.2">
      <c r="D930" s="1"/>
    </row>
    <row r="931" spans="4:4" x14ac:dyDescent="0.2">
      <c r="D931" s="1"/>
    </row>
    <row r="932" spans="4:4" x14ac:dyDescent="0.2">
      <c r="D932" s="1"/>
    </row>
    <row r="933" spans="4:4" x14ac:dyDescent="0.2">
      <c r="D933" s="1"/>
    </row>
    <row r="934" spans="4:4" x14ac:dyDescent="0.2">
      <c r="D934" s="1"/>
    </row>
    <row r="935" spans="4:4" x14ac:dyDescent="0.2">
      <c r="D935" s="1"/>
    </row>
    <row r="936" spans="4:4" x14ac:dyDescent="0.2">
      <c r="D936" s="1"/>
    </row>
    <row r="937" spans="4:4" x14ac:dyDescent="0.2">
      <c r="D937" s="1"/>
    </row>
    <row r="938" spans="4:4" x14ac:dyDescent="0.2">
      <c r="D938" s="1"/>
    </row>
    <row r="939" spans="4:4" x14ac:dyDescent="0.2">
      <c r="D939" s="1"/>
    </row>
    <row r="940" spans="4:4" x14ac:dyDescent="0.2">
      <c r="D940" s="1"/>
    </row>
    <row r="941" spans="4:4" x14ac:dyDescent="0.2">
      <c r="D941" s="1"/>
    </row>
    <row r="942" spans="4:4" x14ac:dyDescent="0.2">
      <c r="D942" s="1"/>
    </row>
    <row r="943" spans="4:4" x14ac:dyDescent="0.2">
      <c r="D943" s="1"/>
    </row>
    <row r="944" spans="4:4" x14ac:dyDescent="0.2">
      <c r="D944" s="1"/>
    </row>
    <row r="945" spans="4:4" x14ac:dyDescent="0.2">
      <c r="D945" s="1"/>
    </row>
    <row r="946" spans="4:4" x14ac:dyDescent="0.2">
      <c r="D946" s="1"/>
    </row>
    <row r="947" spans="4:4" x14ac:dyDescent="0.2">
      <c r="D947" s="1"/>
    </row>
    <row r="948" spans="4:4" x14ac:dyDescent="0.2">
      <c r="D948" s="1"/>
    </row>
    <row r="949" spans="4:4" x14ac:dyDescent="0.2">
      <c r="D949" s="1"/>
    </row>
    <row r="950" spans="4:4" x14ac:dyDescent="0.2">
      <c r="D950" s="1"/>
    </row>
    <row r="951" spans="4:4" x14ac:dyDescent="0.2">
      <c r="D951" s="1"/>
    </row>
    <row r="952" spans="4:4" x14ac:dyDescent="0.2">
      <c r="D952" s="1"/>
    </row>
    <row r="953" spans="4:4" x14ac:dyDescent="0.2">
      <c r="D953" s="1"/>
    </row>
    <row r="954" spans="4:4" x14ac:dyDescent="0.2">
      <c r="D954" s="1"/>
    </row>
    <row r="955" spans="4:4" x14ac:dyDescent="0.2">
      <c r="D955" s="1"/>
    </row>
    <row r="956" spans="4:4" x14ac:dyDescent="0.2">
      <c r="D956" s="1"/>
    </row>
    <row r="957" spans="4:4" x14ac:dyDescent="0.2">
      <c r="D957" s="1"/>
    </row>
    <row r="958" spans="4:4" x14ac:dyDescent="0.2">
      <c r="D958" s="1"/>
    </row>
    <row r="959" spans="4:4" x14ac:dyDescent="0.2">
      <c r="D959" s="1"/>
    </row>
    <row r="960" spans="4:4" x14ac:dyDescent="0.2">
      <c r="D960" s="1"/>
    </row>
    <row r="961" spans="4:4" x14ac:dyDescent="0.2">
      <c r="D961" s="1"/>
    </row>
    <row r="962" spans="4:4" x14ac:dyDescent="0.2">
      <c r="D962" s="1"/>
    </row>
    <row r="963" spans="4:4" x14ac:dyDescent="0.2">
      <c r="D963" s="1"/>
    </row>
    <row r="964" spans="4:4" x14ac:dyDescent="0.2">
      <c r="D964" s="1"/>
    </row>
    <row r="965" spans="4:4" x14ac:dyDescent="0.2">
      <c r="D965" s="1"/>
    </row>
    <row r="966" spans="4:4" x14ac:dyDescent="0.2">
      <c r="D966" s="1"/>
    </row>
    <row r="967" spans="4:4" x14ac:dyDescent="0.2">
      <c r="D967" s="1"/>
    </row>
    <row r="968" spans="4:4" x14ac:dyDescent="0.2">
      <c r="D968" s="1"/>
    </row>
    <row r="969" spans="4:4" x14ac:dyDescent="0.2">
      <c r="D969" s="1"/>
    </row>
    <row r="970" spans="4:4" x14ac:dyDescent="0.2">
      <c r="D970" s="1"/>
    </row>
    <row r="971" spans="4:4" x14ac:dyDescent="0.2">
      <c r="D971" s="1"/>
    </row>
    <row r="973" spans="4:4" x14ac:dyDescent="0.2">
      <c r="D973" s="1"/>
    </row>
    <row r="975" spans="4:4" x14ac:dyDescent="0.2">
      <c r="D975" s="1"/>
    </row>
    <row r="976" spans="4:4" x14ac:dyDescent="0.2">
      <c r="D976" s="1"/>
    </row>
    <row r="977" spans="4:4" x14ac:dyDescent="0.2">
      <c r="D977" s="1"/>
    </row>
    <row r="978" spans="4:4" x14ac:dyDescent="0.2">
      <c r="D978" s="1"/>
    </row>
    <row r="979" spans="4:4" x14ac:dyDescent="0.2">
      <c r="D979" s="1"/>
    </row>
    <row r="980" spans="4:4" x14ac:dyDescent="0.2">
      <c r="D980" s="1"/>
    </row>
    <row r="981" spans="4:4" x14ac:dyDescent="0.2">
      <c r="D981" s="1"/>
    </row>
    <row r="982" spans="4:4" x14ac:dyDescent="0.2">
      <c r="D982" s="1"/>
    </row>
    <row r="983" spans="4:4" x14ac:dyDescent="0.2">
      <c r="D983" s="1"/>
    </row>
    <row r="984" spans="4:4" x14ac:dyDescent="0.2">
      <c r="D984" s="1"/>
    </row>
    <row r="985" spans="4:4" x14ac:dyDescent="0.2">
      <c r="D985" s="1"/>
    </row>
    <row r="986" spans="4:4" x14ac:dyDescent="0.2">
      <c r="D986" s="1"/>
    </row>
    <row r="987" spans="4:4" x14ac:dyDescent="0.2">
      <c r="D987" s="1"/>
    </row>
    <row r="988" spans="4:4" x14ac:dyDescent="0.2">
      <c r="D988" s="1"/>
    </row>
    <row r="989" spans="4:4" x14ac:dyDescent="0.2">
      <c r="D989" s="1"/>
    </row>
    <row r="990" spans="4:4" x14ac:dyDescent="0.2">
      <c r="D990" s="1"/>
    </row>
    <row r="991" spans="4:4" x14ac:dyDescent="0.2">
      <c r="D991" s="1"/>
    </row>
    <row r="992" spans="4:4" x14ac:dyDescent="0.2">
      <c r="D992" s="1"/>
    </row>
    <row r="993" spans="4:4" x14ac:dyDescent="0.2">
      <c r="D993" s="1"/>
    </row>
    <row r="994" spans="4:4" x14ac:dyDescent="0.2">
      <c r="D994" s="1"/>
    </row>
    <row r="995" spans="4:4" x14ac:dyDescent="0.2">
      <c r="D995" s="1"/>
    </row>
    <row r="996" spans="4:4" x14ac:dyDescent="0.2">
      <c r="D996" s="1"/>
    </row>
    <row r="997" spans="4:4" x14ac:dyDescent="0.2">
      <c r="D997" s="1"/>
    </row>
    <row r="998" spans="4:4" x14ac:dyDescent="0.2">
      <c r="D998" s="1"/>
    </row>
    <row r="999" spans="4:4" x14ac:dyDescent="0.2">
      <c r="D999" s="1"/>
    </row>
    <row r="1000" spans="4:4" x14ac:dyDescent="0.2">
      <c r="D1000" s="1"/>
    </row>
    <row r="1001" spans="4:4" x14ac:dyDescent="0.2">
      <c r="D1001" s="1"/>
    </row>
    <row r="1002" spans="4:4" x14ac:dyDescent="0.2">
      <c r="D1002" s="1"/>
    </row>
    <row r="1003" spans="4:4" x14ac:dyDescent="0.2">
      <c r="D1003" s="1"/>
    </row>
    <row r="1004" spans="4:4" x14ac:dyDescent="0.2">
      <c r="D1004" s="1"/>
    </row>
    <row r="1005" spans="4:4" x14ac:dyDescent="0.2">
      <c r="D1005" s="1"/>
    </row>
    <row r="1006" spans="4:4" x14ac:dyDescent="0.2">
      <c r="D1006" s="1"/>
    </row>
    <row r="1007" spans="4:4" x14ac:dyDescent="0.2">
      <c r="D1007" s="1"/>
    </row>
    <row r="1008" spans="4:4" x14ac:dyDescent="0.2">
      <c r="D1008" s="1"/>
    </row>
    <row r="1009" spans="4:4" x14ac:dyDescent="0.2">
      <c r="D1009" s="1"/>
    </row>
    <row r="1010" spans="4:4" x14ac:dyDescent="0.2">
      <c r="D1010" s="1"/>
    </row>
    <row r="1011" spans="4:4" x14ac:dyDescent="0.2">
      <c r="D1011" s="1"/>
    </row>
    <row r="1012" spans="4:4" x14ac:dyDescent="0.2">
      <c r="D1012" s="1"/>
    </row>
    <row r="1013" spans="4:4" x14ac:dyDescent="0.2">
      <c r="D1013" s="1"/>
    </row>
    <row r="1014" spans="4:4" x14ac:dyDescent="0.2">
      <c r="D1014" s="1"/>
    </row>
    <row r="1015" spans="4:4" x14ac:dyDescent="0.2">
      <c r="D1015" s="1"/>
    </row>
    <row r="1016" spans="4:4" x14ac:dyDescent="0.2">
      <c r="D1016" s="1"/>
    </row>
    <row r="1017" spans="4:4" x14ac:dyDescent="0.2">
      <c r="D1017" s="1"/>
    </row>
    <row r="1018" spans="4:4" x14ac:dyDescent="0.2">
      <c r="D1018" s="1"/>
    </row>
    <row r="1019" spans="4:4" x14ac:dyDescent="0.2">
      <c r="D1019" s="1"/>
    </row>
    <row r="1020" spans="4:4" x14ac:dyDescent="0.2">
      <c r="D1020" s="1"/>
    </row>
    <row r="1021" spans="4:4" x14ac:dyDescent="0.2">
      <c r="D1021" s="1"/>
    </row>
    <row r="1022" spans="4:4" x14ac:dyDescent="0.2">
      <c r="D1022" s="1"/>
    </row>
    <row r="1023" spans="4:4" x14ac:dyDescent="0.2">
      <c r="D1023" s="1"/>
    </row>
    <row r="1024" spans="4:4" x14ac:dyDescent="0.2">
      <c r="D1024" s="1"/>
    </row>
    <row r="1025" spans="4:4" x14ac:dyDescent="0.2">
      <c r="D1025" s="1"/>
    </row>
    <row r="1026" spans="4:4" x14ac:dyDescent="0.2">
      <c r="D1026" s="1"/>
    </row>
    <row r="1027" spans="4:4" x14ac:dyDescent="0.2">
      <c r="D1027" s="1"/>
    </row>
    <row r="1028" spans="4:4" x14ac:dyDescent="0.2">
      <c r="D1028" s="1"/>
    </row>
    <row r="1029" spans="4:4" x14ac:dyDescent="0.2">
      <c r="D1029" s="1"/>
    </row>
    <row r="1030" spans="4:4" x14ac:dyDescent="0.2">
      <c r="D1030" s="1"/>
    </row>
    <row r="1031" spans="4:4" x14ac:dyDescent="0.2">
      <c r="D1031" s="1"/>
    </row>
    <row r="1032" spans="4:4" x14ac:dyDescent="0.2">
      <c r="D1032" s="1"/>
    </row>
    <row r="1033" spans="4:4" x14ac:dyDescent="0.2">
      <c r="D1033" s="1"/>
    </row>
    <row r="1034" spans="4:4" x14ac:dyDescent="0.2">
      <c r="D1034" s="1"/>
    </row>
    <row r="1035" spans="4:4" x14ac:dyDescent="0.2">
      <c r="D1035" s="1"/>
    </row>
    <row r="1036" spans="4:4" x14ac:dyDescent="0.2">
      <c r="D1036" s="1"/>
    </row>
    <row r="1037" spans="4:4" x14ac:dyDescent="0.2">
      <c r="D1037" s="1"/>
    </row>
    <row r="1038" spans="4:4" x14ac:dyDescent="0.2">
      <c r="D1038" s="1"/>
    </row>
    <row r="1039" spans="4:4" x14ac:dyDescent="0.2">
      <c r="D1039" s="1"/>
    </row>
    <row r="1040" spans="4:4" x14ac:dyDescent="0.2">
      <c r="D1040" s="1"/>
    </row>
    <row r="1041" spans="4:4" x14ac:dyDescent="0.2">
      <c r="D1041" s="1"/>
    </row>
    <row r="1042" spans="4:4" x14ac:dyDescent="0.2">
      <c r="D1042" s="1"/>
    </row>
    <row r="1043" spans="4:4" x14ac:dyDescent="0.2">
      <c r="D1043" s="1"/>
    </row>
    <row r="1044" spans="4:4" x14ac:dyDescent="0.2">
      <c r="D1044" s="1"/>
    </row>
    <row r="1045" spans="4:4" x14ac:dyDescent="0.2">
      <c r="D1045" s="1"/>
    </row>
    <row r="1046" spans="4:4" x14ac:dyDescent="0.2">
      <c r="D1046" s="1"/>
    </row>
    <row r="1047" spans="4:4" x14ac:dyDescent="0.2">
      <c r="D1047" s="1"/>
    </row>
    <row r="1048" spans="4:4" x14ac:dyDescent="0.2">
      <c r="D1048" s="1"/>
    </row>
    <row r="1049" spans="4:4" x14ac:dyDescent="0.2">
      <c r="D1049" s="1"/>
    </row>
    <row r="1050" spans="4:4" x14ac:dyDescent="0.2">
      <c r="D1050" s="1"/>
    </row>
    <row r="1051" spans="4:4" x14ac:dyDescent="0.2">
      <c r="D1051" s="1"/>
    </row>
    <row r="1052" spans="4:4" x14ac:dyDescent="0.2">
      <c r="D1052" s="1"/>
    </row>
    <row r="1053" spans="4:4" x14ac:dyDescent="0.2">
      <c r="D1053" s="1"/>
    </row>
    <row r="1054" spans="4:4" x14ac:dyDescent="0.2">
      <c r="D1054" s="1"/>
    </row>
    <row r="1055" spans="4:4" x14ac:dyDescent="0.2">
      <c r="D1055" s="1"/>
    </row>
    <row r="1056" spans="4:4" x14ac:dyDescent="0.2">
      <c r="D1056" s="1"/>
    </row>
    <row r="1057" spans="4:4" x14ac:dyDescent="0.2">
      <c r="D1057" s="1"/>
    </row>
    <row r="1058" spans="4:4" x14ac:dyDescent="0.2">
      <c r="D1058" s="1"/>
    </row>
    <row r="1059" spans="4:4" x14ac:dyDescent="0.2">
      <c r="D1059" s="1"/>
    </row>
    <row r="1060" spans="4:4" x14ac:dyDescent="0.2">
      <c r="D1060" s="1"/>
    </row>
    <row r="1061" spans="4:4" x14ac:dyDescent="0.2">
      <c r="D1061" s="1"/>
    </row>
    <row r="1062" spans="4:4" x14ac:dyDescent="0.2">
      <c r="D1062" s="1"/>
    </row>
    <row r="1063" spans="4:4" x14ac:dyDescent="0.2">
      <c r="D1063" s="1"/>
    </row>
    <row r="1064" spans="4:4" x14ac:dyDescent="0.2">
      <c r="D1064" s="1"/>
    </row>
    <row r="1065" spans="4:4" x14ac:dyDescent="0.2">
      <c r="D1065" s="1"/>
    </row>
    <row r="1066" spans="4:4" x14ac:dyDescent="0.2">
      <c r="D1066" s="1"/>
    </row>
    <row r="1067" spans="4:4" x14ac:dyDescent="0.2">
      <c r="D1067" s="1"/>
    </row>
    <row r="1068" spans="4:4" x14ac:dyDescent="0.2">
      <c r="D1068" s="1"/>
    </row>
    <row r="1069" spans="4:4" x14ac:dyDescent="0.2">
      <c r="D1069" s="1"/>
    </row>
    <row r="1070" spans="4:4" x14ac:dyDescent="0.2">
      <c r="D1070" s="1"/>
    </row>
    <row r="1071" spans="4:4" x14ac:dyDescent="0.2">
      <c r="D1071" s="1"/>
    </row>
    <row r="1072" spans="4:4" x14ac:dyDescent="0.2">
      <c r="D1072" s="1"/>
    </row>
    <row r="1073" spans="4:4" x14ac:dyDescent="0.2">
      <c r="D1073" s="1"/>
    </row>
    <row r="1074" spans="4:4" x14ac:dyDescent="0.2">
      <c r="D1074" s="1"/>
    </row>
    <row r="1075" spans="4:4" x14ac:dyDescent="0.2">
      <c r="D1075" s="1"/>
    </row>
    <row r="1076" spans="4:4" x14ac:dyDescent="0.2">
      <c r="D1076" s="1"/>
    </row>
    <row r="1077" spans="4:4" x14ac:dyDescent="0.2">
      <c r="D1077" s="1"/>
    </row>
    <row r="1078" spans="4:4" x14ac:dyDescent="0.2">
      <c r="D1078" s="1"/>
    </row>
    <row r="1079" spans="4:4" x14ac:dyDescent="0.2">
      <c r="D1079" s="1"/>
    </row>
    <row r="1080" spans="4:4" x14ac:dyDescent="0.2">
      <c r="D1080" s="1"/>
    </row>
    <row r="1081" spans="4:4" x14ac:dyDescent="0.2">
      <c r="D1081" s="1"/>
    </row>
    <row r="1082" spans="4:4" x14ac:dyDescent="0.2">
      <c r="D1082" s="1"/>
    </row>
    <row r="1083" spans="4:4" x14ac:dyDescent="0.2">
      <c r="D1083" s="1"/>
    </row>
    <row r="1084" spans="4:4" x14ac:dyDescent="0.2">
      <c r="D1084" s="1"/>
    </row>
    <row r="1085" spans="4:4" x14ac:dyDescent="0.2">
      <c r="D1085" s="1"/>
    </row>
    <row r="1086" spans="4:4" x14ac:dyDescent="0.2">
      <c r="D1086" s="1"/>
    </row>
    <row r="1087" spans="4:4" x14ac:dyDescent="0.2">
      <c r="D1087" s="1"/>
    </row>
    <row r="1088" spans="4:4" x14ac:dyDescent="0.2">
      <c r="D1088" s="1"/>
    </row>
    <row r="1089" spans="4:4" x14ac:dyDescent="0.2">
      <c r="D1089" s="1"/>
    </row>
    <row r="1090" spans="4:4" x14ac:dyDescent="0.2">
      <c r="D1090" s="1"/>
    </row>
    <row r="1091" spans="4:4" x14ac:dyDescent="0.2">
      <c r="D1091" s="1"/>
    </row>
    <row r="1092" spans="4:4" x14ac:dyDescent="0.2">
      <c r="D1092" s="1"/>
    </row>
    <row r="1093" spans="4:4" x14ac:dyDescent="0.2">
      <c r="D1093" s="1"/>
    </row>
    <row r="1094" spans="4:4" x14ac:dyDescent="0.2">
      <c r="D1094" s="1"/>
    </row>
    <row r="1095" spans="4:4" x14ac:dyDescent="0.2">
      <c r="D1095" s="1"/>
    </row>
    <row r="1096" spans="4:4" x14ac:dyDescent="0.2">
      <c r="D1096" s="1"/>
    </row>
    <row r="1097" spans="4:4" x14ac:dyDescent="0.2">
      <c r="D1097" s="1"/>
    </row>
    <row r="1099" spans="4:4" x14ac:dyDescent="0.2">
      <c r="D1099" s="1"/>
    </row>
    <row r="1100" spans="4:4" x14ac:dyDescent="0.2">
      <c r="D1100" s="1"/>
    </row>
    <row r="1101" spans="4:4" x14ac:dyDescent="0.2">
      <c r="D1101" s="1"/>
    </row>
    <row r="1102" spans="4:4" x14ac:dyDescent="0.2">
      <c r="D1102" s="1"/>
    </row>
    <row r="1103" spans="4:4" x14ac:dyDescent="0.2">
      <c r="D1103" s="1"/>
    </row>
    <row r="1104" spans="4:4" x14ac:dyDescent="0.2">
      <c r="D1104" s="1"/>
    </row>
    <row r="1105" spans="4:4" x14ac:dyDescent="0.2">
      <c r="D1105" s="1"/>
    </row>
    <row r="1106" spans="4:4" x14ac:dyDescent="0.2">
      <c r="D1106" s="1"/>
    </row>
    <row r="1107" spans="4:4" x14ac:dyDescent="0.2">
      <c r="D1107" s="1"/>
    </row>
    <row r="1108" spans="4:4" x14ac:dyDescent="0.2">
      <c r="D1108" s="1"/>
    </row>
    <row r="1109" spans="4:4" x14ac:dyDescent="0.2">
      <c r="D1109" s="1"/>
    </row>
    <row r="1110" spans="4:4" x14ac:dyDescent="0.2">
      <c r="D1110" s="1"/>
    </row>
    <row r="1111" spans="4:4" x14ac:dyDescent="0.2">
      <c r="D1111" s="1"/>
    </row>
    <row r="1113" spans="4:4" x14ac:dyDescent="0.2">
      <c r="D1113" s="1"/>
    </row>
    <row r="1114" spans="4:4" x14ac:dyDescent="0.2">
      <c r="D1114" s="1"/>
    </row>
    <row r="1115" spans="4:4" x14ac:dyDescent="0.2">
      <c r="D1115" s="1"/>
    </row>
    <row r="1116" spans="4:4" x14ac:dyDescent="0.2">
      <c r="D1116" s="1"/>
    </row>
    <row r="1117" spans="4:4" x14ac:dyDescent="0.2">
      <c r="D1117" s="1"/>
    </row>
    <row r="1118" spans="4:4" x14ac:dyDescent="0.2">
      <c r="D1118" s="1"/>
    </row>
    <row r="1119" spans="4:4" x14ac:dyDescent="0.2">
      <c r="D1119" s="1"/>
    </row>
    <row r="1120" spans="4:4" x14ac:dyDescent="0.2">
      <c r="D1120" s="1"/>
    </row>
    <row r="1121" spans="4:4" x14ac:dyDescent="0.2">
      <c r="D1121" s="1"/>
    </row>
    <row r="1125" spans="4:4" x14ac:dyDescent="0.2">
      <c r="D1125" s="1"/>
    </row>
    <row r="1127" spans="4:4" x14ac:dyDescent="0.2">
      <c r="D1127" s="1"/>
    </row>
    <row r="1129" spans="4:4" x14ac:dyDescent="0.2">
      <c r="D1129" s="1"/>
    </row>
    <row r="1130" spans="4:4" x14ac:dyDescent="0.2">
      <c r="D1130" s="1"/>
    </row>
    <row r="1131" spans="4:4" x14ac:dyDescent="0.2">
      <c r="D1131" s="1"/>
    </row>
    <row r="1133" spans="4:4" x14ac:dyDescent="0.2">
      <c r="D1133" s="1"/>
    </row>
    <row r="1134" spans="4:4" x14ac:dyDescent="0.2">
      <c r="D1134" s="1"/>
    </row>
    <row r="1135" spans="4:4" x14ac:dyDescent="0.2">
      <c r="D1135" s="1"/>
    </row>
    <row r="1138" spans="4:4" x14ac:dyDescent="0.2">
      <c r="D1138" s="1"/>
    </row>
    <row r="1139" spans="4:4" x14ac:dyDescent="0.2">
      <c r="D1139" s="1"/>
    </row>
    <row r="1142" spans="4:4" x14ac:dyDescent="0.2">
      <c r="D1142" s="1"/>
    </row>
    <row r="1151" spans="4:4" x14ac:dyDescent="0.2">
      <c r="D1151" s="1"/>
    </row>
    <row r="1153" spans="4:4" x14ac:dyDescent="0.2">
      <c r="D1153" s="1"/>
    </row>
    <row r="1418" spans="4:4" x14ac:dyDescent="0.2">
      <c r="D1418" s="1"/>
    </row>
    <row r="1421" spans="4:4" x14ac:dyDescent="0.2">
      <c r="D1421" s="1"/>
    </row>
    <row r="1422" spans="4:4" x14ac:dyDescent="0.2">
      <c r="D1422" s="1"/>
    </row>
    <row r="1423" spans="4:4" x14ac:dyDescent="0.2">
      <c r="D1423" s="1"/>
    </row>
    <row r="1425" spans="4:4" x14ac:dyDescent="0.2">
      <c r="D1425" s="1"/>
    </row>
    <row r="1432" spans="4:4" x14ac:dyDescent="0.2">
      <c r="D1432" s="1"/>
    </row>
    <row r="1438" spans="4:4" x14ac:dyDescent="0.2">
      <c r="D1438" s="1"/>
    </row>
    <row r="1446" spans="4:4" x14ac:dyDescent="0.2">
      <c r="D1446" s="1"/>
    </row>
    <row r="1451" spans="4:4" x14ac:dyDescent="0.2">
      <c r="D1451" s="1"/>
    </row>
    <row r="1452" spans="4:4" x14ac:dyDescent="0.2">
      <c r="D1452" s="1"/>
    </row>
    <row r="1460" spans="4:4" x14ac:dyDescent="0.2">
      <c r="D1460" s="1"/>
    </row>
    <row r="1461" spans="4:4" x14ac:dyDescent="0.2">
      <c r="D1461" s="1"/>
    </row>
    <row r="1463" spans="4:4" x14ac:dyDescent="0.2">
      <c r="D1463" s="1"/>
    </row>
    <row r="1464" spans="4:4" x14ac:dyDescent="0.2">
      <c r="D1464" s="1"/>
    </row>
    <row r="1465" spans="4:4" x14ac:dyDescent="0.2">
      <c r="D1465" s="1"/>
    </row>
    <row r="1467" spans="4:4" x14ac:dyDescent="0.2">
      <c r="D1467" s="1"/>
    </row>
    <row r="1469" spans="4:4" x14ac:dyDescent="0.2">
      <c r="D1469" s="1"/>
    </row>
    <row r="1470" spans="4:4" x14ac:dyDescent="0.2">
      <c r="D1470" s="1"/>
    </row>
    <row r="1471" spans="4:4" x14ac:dyDescent="0.2">
      <c r="D1471" s="1"/>
    </row>
    <row r="1472" spans="4:4" x14ac:dyDescent="0.2">
      <c r="D1472" s="1"/>
    </row>
    <row r="1473" spans="4:4" x14ac:dyDescent="0.2">
      <c r="D1473" s="1"/>
    </row>
    <row r="1474" spans="4:4" x14ac:dyDescent="0.2">
      <c r="D1474" s="1"/>
    </row>
    <row r="1476" spans="4:4" x14ac:dyDescent="0.2">
      <c r="D1476" s="1"/>
    </row>
    <row r="1477" spans="4:4" x14ac:dyDescent="0.2">
      <c r="D1477" s="1"/>
    </row>
    <row r="1479" spans="4:4" x14ac:dyDescent="0.2">
      <c r="D1479" s="1"/>
    </row>
    <row r="1480" spans="4:4" x14ac:dyDescent="0.2">
      <c r="D1480" s="1"/>
    </row>
    <row r="1481" spans="4:4" x14ac:dyDescent="0.2">
      <c r="D1481" s="1"/>
    </row>
    <row r="1482" spans="4:4" x14ac:dyDescent="0.2">
      <c r="D1482" s="1"/>
    </row>
    <row r="1483" spans="4:4" x14ac:dyDescent="0.2">
      <c r="D1483" s="1"/>
    </row>
    <row r="1484" spans="4:4" x14ac:dyDescent="0.2">
      <c r="D1484" s="1"/>
    </row>
    <row r="1485" spans="4:4" x14ac:dyDescent="0.2">
      <c r="D1485" s="1"/>
    </row>
    <row r="1486" spans="4:4" x14ac:dyDescent="0.2">
      <c r="D1486" s="1"/>
    </row>
    <row r="1487" spans="4:4" x14ac:dyDescent="0.2">
      <c r="D1487" s="1"/>
    </row>
    <row r="1488" spans="4:4" x14ac:dyDescent="0.2">
      <c r="D1488" s="1"/>
    </row>
    <row r="1489" spans="4:4" x14ac:dyDescent="0.2">
      <c r="D1489" s="1"/>
    </row>
    <row r="1490" spans="4:4" x14ac:dyDescent="0.2">
      <c r="D1490" s="1"/>
    </row>
    <row r="1491" spans="4:4" x14ac:dyDescent="0.2">
      <c r="D1491" s="1"/>
    </row>
    <row r="1492" spans="4:4" x14ac:dyDescent="0.2">
      <c r="D1492" s="1"/>
    </row>
    <row r="1493" spans="4:4" x14ac:dyDescent="0.2">
      <c r="D1493" s="1"/>
    </row>
    <row r="1494" spans="4:4" x14ac:dyDescent="0.2">
      <c r="D1494" s="1"/>
    </row>
    <row r="1495" spans="4:4" x14ac:dyDescent="0.2">
      <c r="D1495" s="1"/>
    </row>
    <row r="1496" spans="4:4" x14ac:dyDescent="0.2">
      <c r="D1496" s="1"/>
    </row>
    <row r="1497" spans="4:4" x14ac:dyDescent="0.2">
      <c r="D1497" s="1"/>
    </row>
    <row r="1498" spans="4:4" x14ac:dyDescent="0.2">
      <c r="D1498" s="1"/>
    </row>
    <row r="1499" spans="4:4" x14ac:dyDescent="0.2">
      <c r="D1499" s="1"/>
    </row>
    <row r="1500" spans="4:4" x14ac:dyDescent="0.2">
      <c r="D1500" s="1"/>
    </row>
    <row r="1501" spans="4:4" x14ac:dyDescent="0.2">
      <c r="D1501" s="1"/>
    </row>
    <row r="1502" spans="4:4" x14ac:dyDescent="0.2">
      <c r="D1502" s="1"/>
    </row>
    <row r="1503" spans="4:4" x14ac:dyDescent="0.2">
      <c r="D1503" s="1"/>
    </row>
    <row r="1504" spans="4:4" x14ac:dyDescent="0.2">
      <c r="D1504" s="1"/>
    </row>
    <row r="1505" spans="4:4" x14ac:dyDescent="0.2">
      <c r="D1505" s="1"/>
    </row>
    <row r="1506" spans="4:4" x14ac:dyDescent="0.2">
      <c r="D1506" s="1"/>
    </row>
    <row r="1507" spans="4:4" x14ac:dyDescent="0.2">
      <c r="D1507" s="1"/>
    </row>
    <row r="1508" spans="4:4" x14ac:dyDescent="0.2">
      <c r="D1508" s="1"/>
    </row>
    <row r="1509" spans="4:4" x14ac:dyDescent="0.2">
      <c r="D1509" s="1"/>
    </row>
    <row r="1510" spans="4:4" x14ac:dyDescent="0.2">
      <c r="D1510" s="1"/>
    </row>
    <row r="1511" spans="4:4" x14ac:dyDescent="0.2">
      <c r="D1511" s="1"/>
    </row>
    <row r="1512" spans="4:4" x14ac:dyDescent="0.2">
      <c r="D1512" s="1"/>
    </row>
    <row r="1513" spans="4:4" x14ac:dyDescent="0.2">
      <c r="D1513" s="1"/>
    </row>
    <row r="1514" spans="4:4" x14ac:dyDescent="0.2">
      <c r="D1514" s="1"/>
    </row>
    <row r="1515" spans="4:4" x14ac:dyDescent="0.2">
      <c r="D1515" s="1"/>
    </row>
    <row r="1516" spans="4:4" x14ac:dyDescent="0.2">
      <c r="D1516" s="1"/>
    </row>
    <row r="1517" spans="4:4" x14ac:dyDescent="0.2">
      <c r="D1517" s="1"/>
    </row>
    <row r="1518" spans="4:4" x14ac:dyDescent="0.2">
      <c r="D1518" s="1"/>
    </row>
    <row r="1519" spans="4:4" x14ac:dyDescent="0.2">
      <c r="D1519" s="1"/>
    </row>
    <row r="1520" spans="4:4" x14ac:dyDescent="0.2">
      <c r="D1520" s="1"/>
    </row>
    <row r="1521" spans="4:4" x14ac:dyDescent="0.2">
      <c r="D1521" s="1"/>
    </row>
    <row r="1522" spans="4:4" x14ac:dyDescent="0.2">
      <c r="D1522" s="1"/>
    </row>
    <row r="1523" spans="4:4" x14ac:dyDescent="0.2">
      <c r="D1523" s="1"/>
    </row>
    <row r="1524" spans="4:4" x14ac:dyDescent="0.2">
      <c r="D1524" s="1"/>
    </row>
    <row r="1525" spans="4:4" x14ac:dyDescent="0.2">
      <c r="D1525" s="1"/>
    </row>
    <row r="1526" spans="4:4" x14ac:dyDescent="0.2">
      <c r="D1526" s="1"/>
    </row>
    <row r="1527" spans="4:4" x14ac:dyDescent="0.2">
      <c r="D1527" s="1"/>
    </row>
    <row r="1528" spans="4:4" x14ac:dyDescent="0.2">
      <c r="D1528" s="1"/>
    </row>
    <row r="1529" spans="4:4" x14ac:dyDescent="0.2">
      <c r="D1529" s="1"/>
    </row>
    <row r="1530" spans="4:4" x14ac:dyDescent="0.2">
      <c r="D1530" s="1"/>
    </row>
    <row r="1531" spans="4:4" x14ac:dyDescent="0.2">
      <c r="D1531" s="1"/>
    </row>
    <row r="1532" spans="4:4" x14ac:dyDescent="0.2">
      <c r="D1532" s="1"/>
    </row>
    <row r="1533" spans="4:4" x14ac:dyDescent="0.2">
      <c r="D1533" s="1"/>
    </row>
    <row r="1534" spans="4:4" x14ac:dyDescent="0.2">
      <c r="D1534" s="1"/>
    </row>
    <row r="1535" spans="4:4" x14ac:dyDescent="0.2">
      <c r="D1535" s="1"/>
    </row>
    <row r="1536" spans="4:4" x14ac:dyDescent="0.2">
      <c r="D1536" s="1"/>
    </row>
    <row r="1537" spans="4:4" x14ac:dyDescent="0.2">
      <c r="D1537" s="1"/>
    </row>
    <row r="1538" spans="4:4" x14ac:dyDescent="0.2">
      <c r="D1538" s="1"/>
    </row>
    <row r="1539" spans="4:4" x14ac:dyDescent="0.2">
      <c r="D1539" s="1"/>
    </row>
    <row r="1540" spans="4:4" x14ac:dyDescent="0.2">
      <c r="D1540" s="1"/>
    </row>
    <row r="1541" spans="4:4" x14ac:dyDescent="0.2">
      <c r="D1541" s="1"/>
    </row>
    <row r="1542" spans="4:4" x14ac:dyDescent="0.2">
      <c r="D1542" s="1"/>
    </row>
    <row r="1543" spans="4:4" x14ac:dyDescent="0.2">
      <c r="D1543" s="1"/>
    </row>
    <row r="1544" spans="4:4" x14ac:dyDescent="0.2">
      <c r="D1544" s="1"/>
    </row>
    <row r="1545" spans="4:4" x14ac:dyDescent="0.2">
      <c r="D1545" s="1"/>
    </row>
    <row r="1546" spans="4:4" x14ac:dyDescent="0.2">
      <c r="D1546" s="1"/>
    </row>
    <row r="1547" spans="4:4" x14ac:dyDescent="0.2">
      <c r="D1547" s="1"/>
    </row>
    <row r="1548" spans="4:4" x14ac:dyDescent="0.2">
      <c r="D1548" s="1"/>
    </row>
    <row r="1549" spans="4:4" x14ac:dyDescent="0.2">
      <c r="D1549" s="1"/>
    </row>
    <row r="1550" spans="4:4" x14ac:dyDescent="0.2">
      <c r="D1550" s="1"/>
    </row>
    <row r="1551" spans="4:4" x14ac:dyDescent="0.2">
      <c r="D1551" s="1"/>
    </row>
    <row r="1552" spans="4:4" x14ac:dyDescent="0.2">
      <c r="D1552" s="1"/>
    </row>
    <row r="1553" spans="4:4" x14ac:dyDescent="0.2">
      <c r="D1553" s="1"/>
    </row>
    <row r="1554" spans="4:4" x14ac:dyDescent="0.2">
      <c r="D1554" s="1"/>
    </row>
    <row r="1555" spans="4:4" x14ac:dyDescent="0.2">
      <c r="D1555" s="1"/>
    </row>
    <row r="1556" spans="4:4" x14ac:dyDescent="0.2">
      <c r="D1556" s="1"/>
    </row>
    <row r="1557" spans="4:4" x14ac:dyDescent="0.2">
      <c r="D1557" s="1"/>
    </row>
    <row r="1558" spans="4:4" x14ac:dyDescent="0.2">
      <c r="D1558" s="1"/>
    </row>
    <row r="1559" spans="4:4" x14ac:dyDescent="0.2">
      <c r="D1559" s="1"/>
    </row>
    <row r="1560" spans="4:4" x14ac:dyDescent="0.2">
      <c r="D1560" s="1"/>
    </row>
    <row r="1561" spans="4:4" x14ac:dyDescent="0.2">
      <c r="D1561" s="1"/>
    </row>
    <row r="1562" spans="4:4" x14ac:dyDescent="0.2">
      <c r="D1562" s="1"/>
    </row>
    <row r="1563" spans="4:4" x14ac:dyDescent="0.2">
      <c r="D1563" s="1"/>
    </row>
    <row r="1564" spans="4:4" x14ac:dyDescent="0.2">
      <c r="D1564" s="1"/>
    </row>
    <row r="1565" spans="4:4" x14ac:dyDescent="0.2">
      <c r="D1565" s="1"/>
    </row>
    <row r="1566" spans="4:4" x14ac:dyDescent="0.2">
      <c r="D1566" s="1"/>
    </row>
    <row r="1567" spans="4:4" x14ac:dyDescent="0.2">
      <c r="D1567" s="1"/>
    </row>
    <row r="1568" spans="4:4" x14ac:dyDescent="0.2">
      <c r="D1568" s="1"/>
    </row>
    <row r="1569" spans="4:4" x14ac:dyDescent="0.2">
      <c r="D1569" s="1"/>
    </row>
    <row r="1570" spans="4:4" x14ac:dyDescent="0.2">
      <c r="D1570" s="1"/>
    </row>
    <row r="1571" spans="4:4" x14ac:dyDescent="0.2">
      <c r="D1571" s="1"/>
    </row>
    <row r="1572" spans="4:4" x14ac:dyDescent="0.2">
      <c r="D1572" s="1"/>
    </row>
    <row r="1573" spans="4:4" x14ac:dyDescent="0.2">
      <c r="D1573" s="1"/>
    </row>
    <row r="1574" spans="4:4" x14ac:dyDescent="0.2">
      <c r="D1574" s="1"/>
    </row>
    <row r="1575" spans="4:4" x14ac:dyDescent="0.2">
      <c r="D1575" s="1"/>
    </row>
    <row r="1576" spans="4:4" x14ac:dyDescent="0.2">
      <c r="D1576" s="1"/>
    </row>
    <row r="1577" spans="4:4" x14ac:dyDescent="0.2">
      <c r="D1577" s="1"/>
    </row>
    <row r="1578" spans="4:4" x14ac:dyDescent="0.2">
      <c r="D1578" s="1"/>
    </row>
    <row r="1579" spans="4:4" x14ac:dyDescent="0.2">
      <c r="D1579" s="1"/>
    </row>
    <row r="1580" spans="4:4" x14ac:dyDescent="0.2">
      <c r="D1580" s="1"/>
    </row>
    <row r="1581" spans="4:4" x14ac:dyDescent="0.2">
      <c r="D1581" s="1"/>
    </row>
    <row r="1582" spans="4:4" x14ac:dyDescent="0.2">
      <c r="D1582" s="1"/>
    </row>
    <row r="1583" spans="4:4" x14ac:dyDescent="0.2">
      <c r="D1583" s="1"/>
    </row>
    <row r="1584" spans="4:4" x14ac:dyDescent="0.2">
      <c r="D1584" s="1"/>
    </row>
    <row r="1585" spans="4:4" x14ac:dyDescent="0.2">
      <c r="D1585" s="1"/>
    </row>
    <row r="1586" spans="4:4" x14ac:dyDescent="0.2">
      <c r="D1586" s="1"/>
    </row>
    <row r="1587" spans="4:4" x14ac:dyDescent="0.2">
      <c r="D1587" s="1"/>
    </row>
    <row r="1588" spans="4:4" x14ac:dyDescent="0.2">
      <c r="D1588" s="1"/>
    </row>
    <row r="1589" spans="4:4" x14ac:dyDescent="0.2">
      <c r="D1589" s="1"/>
    </row>
    <row r="1590" spans="4:4" x14ac:dyDescent="0.2">
      <c r="D1590" s="1"/>
    </row>
    <row r="1591" spans="4:4" x14ac:dyDescent="0.2">
      <c r="D1591" s="1"/>
    </row>
    <row r="1592" spans="4:4" x14ac:dyDescent="0.2">
      <c r="D1592" s="1"/>
    </row>
    <row r="1593" spans="4:4" x14ac:dyDescent="0.2">
      <c r="D1593" s="1"/>
    </row>
    <row r="1594" spans="4:4" x14ac:dyDescent="0.2">
      <c r="D1594" s="1"/>
    </row>
    <row r="1595" spans="4:4" x14ac:dyDescent="0.2">
      <c r="D1595" s="1"/>
    </row>
    <row r="1596" spans="4:4" x14ac:dyDescent="0.2">
      <c r="D1596" s="1"/>
    </row>
    <row r="1597" spans="4:4" x14ac:dyDescent="0.2">
      <c r="D1597" s="1"/>
    </row>
    <row r="1598" spans="4:4" x14ac:dyDescent="0.2">
      <c r="D1598" s="1"/>
    </row>
    <row r="1599" spans="4:4" x14ac:dyDescent="0.2">
      <c r="D1599" s="1"/>
    </row>
    <row r="1600" spans="4:4" x14ac:dyDescent="0.2">
      <c r="D1600" s="1"/>
    </row>
    <row r="1601" spans="4:4" x14ac:dyDescent="0.2">
      <c r="D1601" s="1"/>
    </row>
    <row r="1602" spans="4:4" x14ac:dyDescent="0.2">
      <c r="D1602" s="1"/>
    </row>
    <row r="1603" spans="4:4" x14ac:dyDescent="0.2">
      <c r="D1603" s="1"/>
    </row>
    <row r="1604" spans="4:4" x14ac:dyDescent="0.2">
      <c r="D1604" s="1"/>
    </row>
    <row r="1605" spans="4:4" x14ac:dyDescent="0.2">
      <c r="D1605" s="1"/>
    </row>
    <row r="1606" spans="4:4" x14ac:dyDescent="0.2">
      <c r="D1606" s="1"/>
    </row>
    <row r="1610" spans="4:4" x14ac:dyDescent="0.2">
      <c r="D1610" s="1"/>
    </row>
    <row r="1611" spans="4:4" x14ac:dyDescent="0.2">
      <c r="D1611" s="1"/>
    </row>
    <row r="1612" spans="4:4" x14ac:dyDescent="0.2">
      <c r="D1612" s="1"/>
    </row>
    <row r="1613" spans="4:4" x14ac:dyDescent="0.2">
      <c r="D1613" s="1"/>
    </row>
    <row r="1614" spans="4:4" x14ac:dyDescent="0.2">
      <c r="D1614" s="1"/>
    </row>
    <row r="1615" spans="4:4" x14ac:dyDescent="0.2">
      <c r="D1615" s="1"/>
    </row>
    <row r="1616" spans="4:4" x14ac:dyDescent="0.2">
      <c r="D1616" s="1"/>
    </row>
    <row r="1617" spans="4:4" x14ac:dyDescent="0.2">
      <c r="D1617" s="1"/>
    </row>
    <row r="1618" spans="4:4" x14ac:dyDescent="0.2">
      <c r="D1618" s="1"/>
    </row>
    <row r="1619" spans="4:4" x14ac:dyDescent="0.2">
      <c r="D1619" s="1"/>
    </row>
    <row r="1620" spans="4:4" x14ac:dyDescent="0.2">
      <c r="D1620" s="1"/>
    </row>
    <row r="1621" spans="4:4" x14ac:dyDescent="0.2">
      <c r="D1621" s="1"/>
    </row>
    <row r="1622" spans="4:4" x14ac:dyDescent="0.2">
      <c r="D1622" s="1"/>
    </row>
    <row r="1623" spans="4:4" x14ac:dyDescent="0.2">
      <c r="D1623" s="1"/>
    </row>
    <row r="1624" spans="4:4" x14ac:dyDescent="0.2">
      <c r="D1624" s="1"/>
    </row>
    <row r="1625" spans="4:4" x14ac:dyDescent="0.2">
      <c r="D1625" s="1"/>
    </row>
    <row r="1626" spans="4:4" x14ac:dyDescent="0.2">
      <c r="D1626" s="1"/>
    </row>
    <row r="1627" spans="4:4" x14ac:dyDescent="0.2">
      <c r="D1627" s="1"/>
    </row>
    <row r="1628" spans="4:4" x14ac:dyDescent="0.2">
      <c r="D1628" s="1"/>
    </row>
    <row r="1629" spans="4:4" x14ac:dyDescent="0.2">
      <c r="D1629" s="1"/>
    </row>
    <row r="1630" spans="4:4" x14ac:dyDescent="0.2">
      <c r="D1630" s="1"/>
    </row>
    <row r="1631" spans="4:4" x14ac:dyDescent="0.2">
      <c r="D1631" s="1"/>
    </row>
    <row r="1632" spans="4:4" x14ac:dyDescent="0.2">
      <c r="D1632" s="1"/>
    </row>
    <row r="1633" spans="4:4" x14ac:dyDescent="0.2">
      <c r="D1633" s="1"/>
    </row>
    <row r="1634" spans="4:4" x14ac:dyDescent="0.2">
      <c r="D1634" s="1"/>
    </row>
    <row r="1635" spans="4:4" x14ac:dyDescent="0.2">
      <c r="D1635" s="1"/>
    </row>
    <row r="1636" spans="4:4" x14ac:dyDescent="0.2">
      <c r="D1636" s="1"/>
    </row>
    <row r="1637" spans="4:4" x14ac:dyDescent="0.2">
      <c r="D1637" s="1"/>
    </row>
    <row r="1638" spans="4:4" x14ac:dyDescent="0.2">
      <c r="D1638" s="1"/>
    </row>
    <row r="1639" spans="4:4" x14ac:dyDescent="0.2">
      <c r="D1639" s="1"/>
    </row>
    <row r="1640" spans="4:4" x14ac:dyDescent="0.2">
      <c r="D1640" s="1"/>
    </row>
    <row r="1641" spans="4:4" x14ac:dyDescent="0.2">
      <c r="D1641" s="1"/>
    </row>
    <row r="1642" spans="4:4" x14ac:dyDescent="0.2">
      <c r="D1642" s="1"/>
    </row>
    <row r="1643" spans="4:4" x14ac:dyDescent="0.2">
      <c r="D1643" s="1"/>
    </row>
    <row r="1644" spans="4:4" x14ac:dyDescent="0.2">
      <c r="D1644" s="1"/>
    </row>
    <row r="1645" spans="4:4" x14ac:dyDescent="0.2">
      <c r="D1645" s="1"/>
    </row>
    <row r="1646" spans="4:4" x14ac:dyDescent="0.2">
      <c r="D1646" s="1"/>
    </row>
    <row r="1647" spans="4:4" x14ac:dyDescent="0.2">
      <c r="D1647" s="1"/>
    </row>
    <row r="1648" spans="4:4" x14ac:dyDescent="0.2">
      <c r="D1648" s="1"/>
    </row>
    <row r="1649" spans="4:4" x14ac:dyDescent="0.2">
      <c r="D1649" s="1"/>
    </row>
    <row r="1650" spans="4:4" x14ac:dyDescent="0.2">
      <c r="D1650" s="1"/>
    </row>
    <row r="1651" spans="4:4" x14ac:dyDescent="0.2">
      <c r="D1651" s="1"/>
    </row>
    <row r="1652" spans="4:4" x14ac:dyDescent="0.2">
      <c r="D1652" s="1"/>
    </row>
    <row r="1653" spans="4:4" x14ac:dyDescent="0.2">
      <c r="D1653" s="1"/>
    </row>
    <row r="1654" spans="4:4" x14ac:dyDescent="0.2">
      <c r="D1654" s="1"/>
    </row>
    <row r="1655" spans="4:4" x14ac:dyDescent="0.2">
      <c r="D1655" s="1"/>
    </row>
    <row r="1656" spans="4:4" x14ac:dyDescent="0.2">
      <c r="D1656" s="1"/>
    </row>
    <row r="1657" spans="4:4" x14ac:dyDescent="0.2">
      <c r="D1657" s="1"/>
    </row>
    <row r="1658" spans="4:4" x14ac:dyDescent="0.2">
      <c r="D1658" s="1"/>
    </row>
    <row r="1659" spans="4:4" x14ac:dyDescent="0.2">
      <c r="D1659" s="1"/>
    </row>
    <row r="1660" spans="4:4" x14ac:dyDescent="0.2">
      <c r="D1660" s="1"/>
    </row>
    <row r="1661" spans="4:4" x14ac:dyDescent="0.2">
      <c r="D1661" s="1"/>
    </row>
    <row r="1662" spans="4:4" x14ac:dyDescent="0.2">
      <c r="D1662" s="1"/>
    </row>
    <row r="1663" spans="4:4" x14ac:dyDescent="0.2">
      <c r="D1663" s="1"/>
    </row>
    <row r="1664" spans="4:4" x14ac:dyDescent="0.2">
      <c r="D1664" s="1"/>
    </row>
    <row r="1665" spans="4:4" x14ac:dyDescent="0.2">
      <c r="D1665" s="1"/>
    </row>
    <row r="1666" spans="4:4" x14ac:dyDescent="0.2">
      <c r="D1666" s="1"/>
    </row>
    <row r="1667" spans="4:4" x14ac:dyDescent="0.2">
      <c r="D1667" s="1"/>
    </row>
    <row r="1668" spans="4:4" x14ac:dyDescent="0.2">
      <c r="D1668" s="1"/>
    </row>
    <row r="1669" spans="4:4" x14ac:dyDescent="0.2">
      <c r="D1669" s="1"/>
    </row>
    <row r="1670" spans="4:4" x14ac:dyDescent="0.2">
      <c r="D1670" s="1"/>
    </row>
    <row r="1671" spans="4:4" x14ac:dyDescent="0.2">
      <c r="D1671" s="1"/>
    </row>
    <row r="1672" spans="4:4" x14ac:dyDescent="0.2">
      <c r="D1672" s="1"/>
    </row>
    <row r="1673" spans="4:4" x14ac:dyDescent="0.2">
      <c r="D1673" s="1"/>
    </row>
    <row r="1674" spans="4:4" x14ac:dyDescent="0.2">
      <c r="D1674" s="1"/>
    </row>
    <row r="1675" spans="4:4" x14ac:dyDescent="0.2">
      <c r="D1675" s="1"/>
    </row>
    <row r="1676" spans="4:4" x14ac:dyDescent="0.2">
      <c r="D1676" s="1"/>
    </row>
    <row r="1677" spans="4:4" x14ac:dyDescent="0.2">
      <c r="D1677" s="1"/>
    </row>
    <row r="1678" spans="4:4" x14ac:dyDescent="0.2">
      <c r="D1678" s="1"/>
    </row>
    <row r="1679" spans="4:4" x14ac:dyDescent="0.2">
      <c r="D1679" s="1"/>
    </row>
    <row r="1680" spans="4:4" x14ac:dyDescent="0.2">
      <c r="D1680" s="1"/>
    </row>
    <row r="1681" spans="4:4" x14ac:dyDescent="0.2">
      <c r="D1681" s="1"/>
    </row>
    <row r="1682" spans="4:4" x14ac:dyDescent="0.2">
      <c r="D1682" s="1"/>
    </row>
    <row r="1683" spans="4:4" x14ac:dyDescent="0.2">
      <c r="D1683" s="1"/>
    </row>
    <row r="1684" spans="4:4" x14ac:dyDescent="0.2">
      <c r="D1684" s="1"/>
    </row>
    <row r="1685" spans="4:4" x14ac:dyDescent="0.2">
      <c r="D1685" s="1"/>
    </row>
    <row r="1686" spans="4:4" x14ac:dyDescent="0.2">
      <c r="D1686" s="1"/>
    </row>
    <row r="1687" spans="4:4" x14ac:dyDescent="0.2">
      <c r="D1687" s="1"/>
    </row>
    <row r="1688" spans="4:4" x14ac:dyDescent="0.2">
      <c r="D1688" s="1"/>
    </row>
    <row r="1689" spans="4:4" x14ac:dyDescent="0.2">
      <c r="D1689" s="1"/>
    </row>
    <row r="1690" spans="4:4" x14ac:dyDescent="0.2">
      <c r="D1690" s="1"/>
    </row>
    <row r="1691" spans="4:4" x14ac:dyDescent="0.2">
      <c r="D1691" s="1"/>
    </row>
    <row r="1692" spans="4:4" x14ac:dyDescent="0.2">
      <c r="D1692" s="1"/>
    </row>
    <row r="1693" spans="4:4" x14ac:dyDescent="0.2">
      <c r="D1693" s="1"/>
    </row>
    <row r="1694" spans="4:4" x14ac:dyDescent="0.2">
      <c r="D1694" s="1"/>
    </row>
    <row r="1695" spans="4:4" x14ac:dyDescent="0.2">
      <c r="D1695" s="1"/>
    </row>
    <row r="1696" spans="4:4" x14ac:dyDescent="0.2">
      <c r="D1696" s="1"/>
    </row>
    <row r="1697" spans="4:4" x14ac:dyDescent="0.2">
      <c r="D1697" s="1"/>
    </row>
    <row r="1698" spans="4:4" x14ac:dyDescent="0.2">
      <c r="D1698" s="1"/>
    </row>
    <row r="1699" spans="4:4" x14ac:dyDescent="0.2">
      <c r="D1699" s="1"/>
    </row>
    <row r="1700" spans="4:4" x14ac:dyDescent="0.2">
      <c r="D1700" s="1"/>
    </row>
    <row r="1701" spans="4:4" x14ac:dyDescent="0.2">
      <c r="D1701" s="1"/>
    </row>
    <row r="1702" spans="4:4" x14ac:dyDescent="0.2">
      <c r="D1702" s="1"/>
    </row>
    <row r="1703" spans="4:4" x14ac:dyDescent="0.2">
      <c r="D1703" s="1"/>
    </row>
    <row r="1704" spans="4:4" x14ac:dyDescent="0.2">
      <c r="D1704" s="1"/>
    </row>
    <row r="1705" spans="4:4" x14ac:dyDescent="0.2">
      <c r="D1705" s="1"/>
    </row>
    <row r="1706" spans="4:4" x14ac:dyDescent="0.2">
      <c r="D1706" s="1"/>
    </row>
    <row r="1707" spans="4:4" x14ac:dyDescent="0.2">
      <c r="D1707" s="1"/>
    </row>
    <row r="1708" spans="4:4" x14ac:dyDescent="0.2">
      <c r="D1708" s="1"/>
    </row>
    <row r="1709" spans="4:4" x14ac:dyDescent="0.2">
      <c r="D1709" s="1"/>
    </row>
    <row r="1710" spans="4:4" x14ac:dyDescent="0.2">
      <c r="D1710" s="1"/>
    </row>
    <row r="1711" spans="4:4" x14ac:dyDescent="0.2">
      <c r="D1711" s="1"/>
    </row>
    <row r="1712" spans="4:4" x14ac:dyDescent="0.2">
      <c r="D1712" s="1"/>
    </row>
    <row r="1713" spans="4:4" x14ac:dyDescent="0.2">
      <c r="D1713" s="1"/>
    </row>
    <row r="1714" spans="4:4" x14ac:dyDescent="0.2">
      <c r="D1714" s="1"/>
    </row>
    <row r="1715" spans="4:4" x14ac:dyDescent="0.2">
      <c r="D1715" s="1"/>
    </row>
    <row r="1716" spans="4:4" x14ac:dyDescent="0.2">
      <c r="D1716" s="1"/>
    </row>
    <row r="1717" spans="4:4" x14ac:dyDescent="0.2">
      <c r="D1717" s="1"/>
    </row>
    <row r="1718" spans="4:4" x14ac:dyDescent="0.2">
      <c r="D1718" s="1"/>
    </row>
    <row r="1719" spans="4:4" x14ac:dyDescent="0.2">
      <c r="D1719" s="1"/>
    </row>
    <row r="1720" spans="4:4" x14ac:dyDescent="0.2">
      <c r="D1720" s="1"/>
    </row>
    <row r="1721" spans="4:4" x14ac:dyDescent="0.2">
      <c r="D1721" s="1"/>
    </row>
    <row r="1722" spans="4:4" x14ac:dyDescent="0.2">
      <c r="D1722" s="1"/>
    </row>
    <row r="1723" spans="4:4" x14ac:dyDescent="0.2">
      <c r="D1723" s="1"/>
    </row>
    <row r="1724" spans="4:4" x14ac:dyDescent="0.2">
      <c r="D1724" s="1"/>
    </row>
    <row r="1725" spans="4:4" x14ac:dyDescent="0.2">
      <c r="D1725" s="1"/>
    </row>
    <row r="1726" spans="4:4" x14ac:dyDescent="0.2">
      <c r="D1726" s="1"/>
    </row>
    <row r="1727" spans="4:4" x14ac:dyDescent="0.2">
      <c r="D1727" s="1"/>
    </row>
    <row r="1728" spans="4:4" x14ac:dyDescent="0.2">
      <c r="D1728" s="1"/>
    </row>
    <row r="1729" spans="4:4" x14ac:dyDescent="0.2">
      <c r="D1729" s="1"/>
    </row>
    <row r="1730" spans="4:4" x14ac:dyDescent="0.2">
      <c r="D1730" s="1"/>
    </row>
    <row r="1731" spans="4:4" x14ac:dyDescent="0.2">
      <c r="D1731" s="1"/>
    </row>
    <row r="1732" spans="4:4" x14ac:dyDescent="0.2">
      <c r="D1732" s="1"/>
    </row>
    <row r="1733" spans="4:4" x14ac:dyDescent="0.2">
      <c r="D1733" s="1"/>
    </row>
    <row r="1734" spans="4:4" x14ac:dyDescent="0.2">
      <c r="D1734" s="1"/>
    </row>
    <row r="1735" spans="4:4" x14ac:dyDescent="0.2">
      <c r="D1735" s="1"/>
    </row>
    <row r="1737" spans="4:4" x14ac:dyDescent="0.2">
      <c r="D1737" s="1"/>
    </row>
    <row r="1738" spans="4:4" x14ac:dyDescent="0.2">
      <c r="D1738" s="1"/>
    </row>
    <row r="1739" spans="4:4" x14ac:dyDescent="0.2">
      <c r="D1739" s="1"/>
    </row>
    <row r="1740" spans="4:4" x14ac:dyDescent="0.2">
      <c r="D1740" s="1"/>
    </row>
    <row r="1741" spans="4:4" x14ac:dyDescent="0.2">
      <c r="D1741" s="1"/>
    </row>
    <row r="1742" spans="4:4" x14ac:dyDescent="0.2">
      <c r="D1742" s="1"/>
    </row>
    <row r="1743" spans="4:4" x14ac:dyDescent="0.2">
      <c r="D1743" s="1"/>
    </row>
    <row r="1744" spans="4:4" x14ac:dyDescent="0.2">
      <c r="D1744" s="1"/>
    </row>
    <row r="1745" spans="4:4" x14ac:dyDescent="0.2">
      <c r="D1745" s="1"/>
    </row>
    <row r="1746" spans="4:4" x14ac:dyDescent="0.2">
      <c r="D1746" s="1"/>
    </row>
    <row r="1747" spans="4:4" x14ac:dyDescent="0.2">
      <c r="D1747" s="1"/>
    </row>
    <row r="1748" spans="4:4" x14ac:dyDescent="0.2">
      <c r="D1748" s="1"/>
    </row>
    <row r="1749" spans="4:4" x14ac:dyDescent="0.2">
      <c r="D1749" s="1"/>
    </row>
    <row r="1750" spans="4:4" x14ac:dyDescent="0.2">
      <c r="D1750" s="1"/>
    </row>
    <row r="1752" spans="4:4" x14ac:dyDescent="0.2">
      <c r="D1752" s="1"/>
    </row>
    <row r="1753" spans="4:4" x14ac:dyDescent="0.2">
      <c r="D1753" s="1"/>
    </row>
    <row r="1754" spans="4:4" x14ac:dyDescent="0.2">
      <c r="D1754" s="1"/>
    </row>
    <row r="1755" spans="4:4" x14ac:dyDescent="0.2">
      <c r="D1755" s="1"/>
    </row>
    <row r="1756" spans="4:4" x14ac:dyDescent="0.2">
      <c r="D1756" s="1"/>
    </row>
    <row r="1757" spans="4:4" x14ac:dyDescent="0.2">
      <c r="D1757" s="1"/>
    </row>
    <row r="1758" spans="4:4" x14ac:dyDescent="0.2">
      <c r="D1758" s="1"/>
    </row>
    <row r="1759" spans="4:4" x14ac:dyDescent="0.2">
      <c r="D1759" s="1"/>
    </row>
    <row r="1760" spans="4:4" x14ac:dyDescent="0.2">
      <c r="D1760" s="1"/>
    </row>
    <row r="1761" spans="4:4" x14ac:dyDescent="0.2">
      <c r="D1761" s="1"/>
    </row>
    <row r="1762" spans="4:4" x14ac:dyDescent="0.2">
      <c r="D1762" s="1"/>
    </row>
    <row r="1764" spans="4:4" x14ac:dyDescent="0.2">
      <c r="D1764" s="1"/>
    </row>
    <row r="1765" spans="4:4" x14ac:dyDescent="0.2">
      <c r="D1765" s="1"/>
    </row>
    <row r="1766" spans="4:4" x14ac:dyDescent="0.2">
      <c r="D1766" s="1"/>
    </row>
    <row r="1767" spans="4:4" x14ac:dyDescent="0.2">
      <c r="D1767" s="1"/>
    </row>
    <row r="1768" spans="4:4" x14ac:dyDescent="0.2">
      <c r="D1768" s="1"/>
    </row>
    <row r="1769" spans="4:4" x14ac:dyDescent="0.2">
      <c r="D1769" s="1"/>
    </row>
    <row r="1771" spans="4:4" x14ac:dyDescent="0.2">
      <c r="D1771" s="1"/>
    </row>
    <row r="1772" spans="4:4" x14ac:dyDescent="0.2">
      <c r="D1772" s="1"/>
    </row>
    <row r="1773" spans="4:4" x14ac:dyDescent="0.2">
      <c r="D1773" s="1"/>
    </row>
    <row r="1774" spans="4:4" x14ac:dyDescent="0.2">
      <c r="D1774" s="1"/>
    </row>
    <row r="1775" spans="4:4" x14ac:dyDescent="0.2">
      <c r="D1775" s="1"/>
    </row>
    <row r="1776" spans="4:4" x14ac:dyDescent="0.2">
      <c r="D1776" s="1"/>
    </row>
    <row r="1778" spans="4:4" x14ac:dyDescent="0.2">
      <c r="D1778" s="1"/>
    </row>
    <row r="1779" spans="4:4" x14ac:dyDescent="0.2">
      <c r="D1779" s="1"/>
    </row>
    <row r="1781" spans="4:4" x14ac:dyDescent="0.2">
      <c r="D1781" s="1"/>
    </row>
    <row r="1784" spans="4:4" x14ac:dyDescent="0.2">
      <c r="D1784" s="1"/>
    </row>
    <row r="1785" spans="4:4" x14ac:dyDescent="0.2">
      <c r="D1785" s="1"/>
    </row>
    <row r="1786" spans="4:4" x14ac:dyDescent="0.2">
      <c r="D1786" s="1"/>
    </row>
    <row r="1787" spans="4:4" x14ac:dyDescent="0.2">
      <c r="D1787" s="1"/>
    </row>
    <row r="1788" spans="4:4" x14ac:dyDescent="0.2">
      <c r="D1788" s="1"/>
    </row>
    <row r="1789" spans="4:4" x14ac:dyDescent="0.2">
      <c r="D1789" s="1"/>
    </row>
    <row r="1790" spans="4:4" x14ac:dyDescent="0.2">
      <c r="D1790" s="1"/>
    </row>
    <row r="1793" spans="4:4" x14ac:dyDescent="0.2">
      <c r="D1793" s="1"/>
    </row>
    <row r="1794" spans="4:4" x14ac:dyDescent="0.2">
      <c r="D1794" s="1"/>
    </row>
    <row r="1795" spans="4:4" x14ac:dyDescent="0.2">
      <c r="D1795" s="1"/>
    </row>
    <row r="1796" spans="4:4" x14ac:dyDescent="0.2">
      <c r="D1796" s="1"/>
    </row>
    <row r="1798" spans="4:4" x14ac:dyDescent="0.2">
      <c r="D1798" s="1"/>
    </row>
    <row r="1799" spans="4:4" x14ac:dyDescent="0.2">
      <c r="D1799" s="1"/>
    </row>
    <row r="1800" spans="4:4" x14ac:dyDescent="0.2">
      <c r="D1800" s="1"/>
    </row>
    <row r="1801" spans="4:4" x14ac:dyDescent="0.2">
      <c r="D1801" s="1"/>
    </row>
    <row r="1802" spans="4:4" x14ac:dyDescent="0.2">
      <c r="D1802" s="1"/>
    </row>
    <row r="1803" spans="4:4" x14ac:dyDescent="0.2">
      <c r="D1803" s="1"/>
    </row>
    <row r="1804" spans="4:4" x14ac:dyDescent="0.2">
      <c r="D1804" s="1"/>
    </row>
    <row r="1805" spans="4:4" x14ac:dyDescent="0.2">
      <c r="D1805" s="1"/>
    </row>
    <row r="1806" spans="4:4" x14ac:dyDescent="0.2">
      <c r="D1806" s="1"/>
    </row>
    <row r="1807" spans="4:4" x14ac:dyDescent="0.2">
      <c r="D1807" s="1"/>
    </row>
    <row r="1827" spans="4:4" x14ac:dyDescent="0.2">
      <c r="D1827" s="1"/>
    </row>
    <row r="2030" spans="4:4" x14ac:dyDescent="0.2">
      <c r="D2030" s="1"/>
    </row>
    <row r="2033" spans="4:4" x14ac:dyDescent="0.2">
      <c r="D2033" s="1"/>
    </row>
    <row r="2034" spans="4:4" x14ac:dyDescent="0.2">
      <c r="D2034" s="1"/>
    </row>
    <row r="2037" spans="4:4" x14ac:dyDescent="0.2">
      <c r="D2037" s="1"/>
    </row>
    <row r="2041" spans="4:4" x14ac:dyDescent="0.2">
      <c r="D2041" s="1"/>
    </row>
    <row r="2045" spans="4:4" x14ac:dyDescent="0.2">
      <c r="D2045" s="1"/>
    </row>
    <row r="2049" spans="4:4" x14ac:dyDescent="0.2">
      <c r="D2049" s="1"/>
    </row>
    <row r="2051" spans="4:4" x14ac:dyDescent="0.2">
      <c r="D2051" s="1"/>
    </row>
    <row r="2055" spans="4:4" x14ac:dyDescent="0.2">
      <c r="D2055" s="1"/>
    </row>
    <row r="2056" spans="4:4" x14ac:dyDescent="0.2">
      <c r="D2056" s="1"/>
    </row>
    <row r="2057" spans="4:4" x14ac:dyDescent="0.2">
      <c r="D2057" s="1"/>
    </row>
    <row r="2059" spans="4:4" x14ac:dyDescent="0.2">
      <c r="D2059" s="1"/>
    </row>
    <row r="2060" spans="4:4" x14ac:dyDescent="0.2">
      <c r="D2060" s="1"/>
    </row>
    <row r="2061" spans="4:4" x14ac:dyDescent="0.2">
      <c r="D2061" s="1"/>
    </row>
    <row r="2062" spans="4:4" x14ac:dyDescent="0.2">
      <c r="D2062" s="1"/>
    </row>
    <row r="2063" spans="4:4" x14ac:dyDescent="0.2">
      <c r="D2063" s="1"/>
    </row>
    <row r="2066" spans="4:4" x14ac:dyDescent="0.2">
      <c r="D2066" s="1"/>
    </row>
    <row r="2067" spans="4:4" x14ac:dyDescent="0.2">
      <c r="D2067" s="1"/>
    </row>
    <row r="2068" spans="4:4" x14ac:dyDescent="0.2">
      <c r="D2068" s="1"/>
    </row>
    <row r="2069" spans="4:4" x14ac:dyDescent="0.2">
      <c r="D2069" s="1"/>
    </row>
    <row r="2070" spans="4:4" x14ac:dyDescent="0.2">
      <c r="D2070" s="1"/>
    </row>
    <row r="2071" spans="4:4" x14ac:dyDescent="0.2">
      <c r="D2071" s="1"/>
    </row>
    <row r="2072" spans="4:4" x14ac:dyDescent="0.2">
      <c r="D2072" s="1"/>
    </row>
    <row r="2073" spans="4:4" x14ac:dyDescent="0.2">
      <c r="D2073" s="1"/>
    </row>
    <row r="2074" spans="4:4" x14ac:dyDescent="0.2">
      <c r="D2074" s="1"/>
    </row>
    <row r="2075" spans="4:4" x14ac:dyDescent="0.2">
      <c r="D2075" s="1"/>
    </row>
    <row r="2076" spans="4:4" x14ac:dyDescent="0.2">
      <c r="D2076" s="1"/>
    </row>
    <row r="2077" spans="4:4" x14ac:dyDescent="0.2">
      <c r="D2077" s="1"/>
    </row>
    <row r="2078" spans="4:4" x14ac:dyDescent="0.2">
      <c r="D2078" s="1"/>
    </row>
    <row r="2079" spans="4:4" x14ac:dyDescent="0.2">
      <c r="D2079" s="1"/>
    </row>
    <row r="2080" spans="4:4" x14ac:dyDescent="0.2">
      <c r="D2080" s="1"/>
    </row>
    <row r="2081" spans="4:4" x14ac:dyDescent="0.2">
      <c r="D2081" s="1"/>
    </row>
    <row r="2082" spans="4:4" x14ac:dyDescent="0.2">
      <c r="D2082" s="1"/>
    </row>
    <row r="2083" spans="4:4" x14ac:dyDescent="0.2">
      <c r="D2083" s="1"/>
    </row>
    <row r="2085" spans="4:4" x14ac:dyDescent="0.2">
      <c r="D2085" s="1"/>
    </row>
    <row r="2086" spans="4:4" x14ac:dyDescent="0.2">
      <c r="D2086" s="1"/>
    </row>
    <row r="2087" spans="4:4" x14ac:dyDescent="0.2">
      <c r="D2087" s="1"/>
    </row>
    <row r="2088" spans="4:4" x14ac:dyDescent="0.2">
      <c r="D2088" s="1"/>
    </row>
    <row r="2089" spans="4:4" x14ac:dyDescent="0.2">
      <c r="D2089" s="1"/>
    </row>
    <row r="2090" spans="4:4" x14ac:dyDescent="0.2">
      <c r="D2090" s="1"/>
    </row>
    <row r="2091" spans="4:4" x14ac:dyDescent="0.2">
      <c r="D2091" s="1"/>
    </row>
    <row r="2092" spans="4:4" x14ac:dyDescent="0.2">
      <c r="D2092" s="1"/>
    </row>
    <row r="2093" spans="4:4" x14ac:dyDescent="0.2">
      <c r="D2093" s="1"/>
    </row>
    <row r="2094" spans="4:4" x14ac:dyDescent="0.2">
      <c r="D2094" s="1"/>
    </row>
    <row r="2095" spans="4:4" x14ac:dyDescent="0.2">
      <c r="D2095" s="1"/>
    </row>
    <row r="2096" spans="4:4" x14ac:dyDescent="0.2">
      <c r="D2096" s="1"/>
    </row>
    <row r="2098" spans="4:4" x14ac:dyDescent="0.2">
      <c r="D2098" s="1"/>
    </row>
    <row r="2099" spans="4:4" x14ac:dyDescent="0.2">
      <c r="D2099" s="1"/>
    </row>
    <row r="2100" spans="4:4" x14ac:dyDescent="0.2">
      <c r="D2100" s="1"/>
    </row>
    <row r="2101" spans="4:4" x14ac:dyDescent="0.2">
      <c r="D2101" s="1"/>
    </row>
    <row r="2103" spans="4:4" x14ac:dyDescent="0.2">
      <c r="D2103" s="1"/>
    </row>
    <row r="2104" spans="4:4" x14ac:dyDescent="0.2">
      <c r="D2104" s="1"/>
    </row>
    <row r="2106" spans="4:4" x14ac:dyDescent="0.2">
      <c r="D2106" s="1"/>
    </row>
    <row r="2107" spans="4:4" x14ac:dyDescent="0.2">
      <c r="D2107" s="1"/>
    </row>
    <row r="2108" spans="4:4" x14ac:dyDescent="0.2">
      <c r="D2108" s="1"/>
    </row>
    <row r="2109" spans="4:4" x14ac:dyDescent="0.2">
      <c r="D2109" s="1"/>
    </row>
    <row r="2110" spans="4:4" x14ac:dyDescent="0.2">
      <c r="D2110" s="1"/>
    </row>
    <row r="2113" spans="4:4" x14ac:dyDescent="0.2">
      <c r="D2113" s="1"/>
    </row>
    <row r="2114" spans="4:4" x14ac:dyDescent="0.2">
      <c r="D2114" s="1"/>
    </row>
    <row r="2115" spans="4:4" x14ac:dyDescent="0.2">
      <c r="D2115" s="1"/>
    </row>
    <row r="2116" spans="4:4" x14ac:dyDescent="0.2">
      <c r="D2116" s="1"/>
    </row>
    <row r="2117" spans="4:4" x14ac:dyDescent="0.2">
      <c r="D2117" s="1"/>
    </row>
    <row r="2118" spans="4:4" x14ac:dyDescent="0.2">
      <c r="D2118" s="1"/>
    </row>
    <row r="2119" spans="4:4" x14ac:dyDescent="0.2">
      <c r="D2119" s="1"/>
    </row>
    <row r="2120" spans="4:4" x14ac:dyDescent="0.2">
      <c r="D2120" s="1"/>
    </row>
    <row r="2121" spans="4:4" x14ac:dyDescent="0.2">
      <c r="D2121" s="1"/>
    </row>
    <row r="2122" spans="4:4" x14ac:dyDescent="0.2">
      <c r="D2122" s="1"/>
    </row>
    <row r="2123" spans="4:4" x14ac:dyDescent="0.2">
      <c r="D2123" s="1"/>
    </row>
    <row r="2124" spans="4:4" x14ac:dyDescent="0.2">
      <c r="D2124" s="1"/>
    </row>
    <row r="2125" spans="4:4" x14ac:dyDescent="0.2">
      <c r="D2125" s="1"/>
    </row>
    <row r="2126" spans="4:4" x14ac:dyDescent="0.2">
      <c r="D2126" s="1"/>
    </row>
    <row r="2127" spans="4:4" x14ac:dyDescent="0.2">
      <c r="D2127" s="1"/>
    </row>
    <row r="2128" spans="4:4" x14ac:dyDescent="0.2">
      <c r="D2128" s="1"/>
    </row>
    <row r="2129" spans="4:4" x14ac:dyDescent="0.2">
      <c r="D2129" s="1"/>
    </row>
    <row r="2130" spans="4:4" x14ac:dyDescent="0.2">
      <c r="D2130" s="1"/>
    </row>
    <row r="2131" spans="4:4" x14ac:dyDescent="0.2">
      <c r="D2131" s="1"/>
    </row>
    <row r="2133" spans="4:4" x14ac:dyDescent="0.2">
      <c r="D2133" s="1"/>
    </row>
    <row r="2134" spans="4:4" x14ac:dyDescent="0.2">
      <c r="D2134" s="1"/>
    </row>
    <row r="2135" spans="4:4" x14ac:dyDescent="0.2">
      <c r="D2135" s="1"/>
    </row>
    <row r="2136" spans="4:4" x14ac:dyDescent="0.2">
      <c r="D2136" s="1"/>
    </row>
    <row r="2137" spans="4:4" x14ac:dyDescent="0.2">
      <c r="D2137" s="1"/>
    </row>
    <row r="2138" spans="4:4" x14ac:dyDescent="0.2">
      <c r="D2138" s="1"/>
    </row>
    <row r="2139" spans="4:4" x14ac:dyDescent="0.2">
      <c r="D2139" s="1"/>
    </row>
    <row r="2140" spans="4:4" x14ac:dyDescent="0.2">
      <c r="D2140" s="1"/>
    </row>
    <row r="2141" spans="4:4" x14ac:dyDescent="0.2">
      <c r="D2141" s="1"/>
    </row>
    <row r="2142" spans="4:4" x14ac:dyDescent="0.2">
      <c r="D2142" s="1"/>
    </row>
    <row r="2143" spans="4:4" x14ac:dyDescent="0.2">
      <c r="D2143" s="1"/>
    </row>
    <row r="2144" spans="4:4" x14ac:dyDescent="0.2">
      <c r="D2144" s="1"/>
    </row>
    <row r="2145" spans="4:4" x14ac:dyDescent="0.2">
      <c r="D2145" s="1"/>
    </row>
    <row r="2146" spans="4:4" x14ac:dyDescent="0.2">
      <c r="D2146" s="1"/>
    </row>
    <row r="2147" spans="4:4" x14ac:dyDescent="0.2">
      <c r="D2147" s="1"/>
    </row>
    <row r="2148" spans="4:4" x14ac:dyDescent="0.2">
      <c r="D2148" s="1"/>
    </row>
    <row r="2149" spans="4:4" x14ac:dyDescent="0.2">
      <c r="D2149" s="1"/>
    </row>
    <row r="2150" spans="4:4" x14ac:dyDescent="0.2">
      <c r="D2150" s="1"/>
    </row>
    <row r="2151" spans="4:4" x14ac:dyDescent="0.2">
      <c r="D2151" s="1"/>
    </row>
    <row r="2152" spans="4:4" x14ac:dyDescent="0.2">
      <c r="D2152" s="1"/>
    </row>
    <row r="2153" spans="4:4" x14ac:dyDescent="0.2">
      <c r="D2153" s="1"/>
    </row>
    <row r="2154" spans="4:4" x14ac:dyDescent="0.2">
      <c r="D2154" s="1"/>
    </row>
    <row r="2155" spans="4:4" x14ac:dyDescent="0.2">
      <c r="D2155" s="1"/>
    </row>
    <row r="2156" spans="4:4" x14ac:dyDescent="0.2">
      <c r="D2156" s="1"/>
    </row>
    <row r="2157" spans="4:4" x14ac:dyDescent="0.2">
      <c r="D2157" s="1"/>
    </row>
    <row r="2158" spans="4:4" x14ac:dyDescent="0.2">
      <c r="D2158" s="1"/>
    </row>
    <row r="2159" spans="4:4" x14ac:dyDescent="0.2">
      <c r="D2159" s="1"/>
    </row>
    <row r="2160" spans="4:4" x14ac:dyDescent="0.2">
      <c r="D2160" s="1"/>
    </row>
    <row r="2161" spans="4:4" x14ac:dyDescent="0.2">
      <c r="D2161" s="1"/>
    </row>
    <row r="2162" spans="4:4" x14ac:dyDescent="0.2">
      <c r="D2162" s="1"/>
    </row>
    <row r="2163" spans="4:4" x14ac:dyDescent="0.2">
      <c r="D2163" s="1"/>
    </row>
    <row r="2164" spans="4:4" x14ac:dyDescent="0.2">
      <c r="D2164" s="1"/>
    </row>
    <row r="2165" spans="4:4" x14ac:dyDescent="0.2">
      <c r="D2165" s="1"/>
    </row>
    <row r="2166" spans="4:4" x14ac:dyDescent="0.2">
      <c r="D2166" s="1"/>
    </row>
    <row r="2167" spans="4:4" x14ac:dyDescent="0.2">
      <c r="D2167" s="1"/>
    </row>
    <row r="2168" spans="4:4" x14ac:dyDescent="0.2">
      <c r="D2168" s="1"/>
    </row>
    <row r="2169" spans="4:4" x14ac:dyDescent="0.2">
      <c r="D2169" s="1"/>
    </row>
    <row r="2170" spans="4:4" x14ac:dyDescent="0.2">
      <c r="D2170" s="1"/>
    </row>
    <row r="2171" spans="4:4" x14ac:dyDescent="0.2">
      <c r="D2171" s="1"/>
    </row>
    <row r="2172" spans="4:4" x14ac:dyDescent="0.2">
      <c r="D2172" s="1"/>
    </row>
    <row r="2173" spans="4:4" x14ac:dyDescent="0.2">
      <c r="D2173" s="1"/>
    </row>
    <row r="2174" spans="4:4" x14ac:dyDescent="0.2">
      <c r="D2174" s="1"/>
    </row>
    <row r="2175" spans="4:4" x14ac:dyDescent="0.2">
      <c r="D2175" s="1"/>
    </row>
    <row r="2176" spans="4:4" x14ac:dyDescent="0.2">
      <c r="D2176" s="1"/>
    </row>
    <row r="2177" spans="4:4" x14ac:dyDescent="0.2">
      <c r="D2177" s="1"/>
    </row>
    <row r="2178" spans="4:4" x14ac:dyDescent="0.2">
      <c r="D2178" s="1"/>
    </row>
    <row r="2179" spans="4:4" x14ac:dyDescent="0.2">
      <c r="D2179" s="1"/>
    </row>
    <row r="2180" spans="4:4" x14ac:dyDescent="0.2">
      <c r="D2180" s="1"/>
    </row>
    <row r="2181" spans="4:4" x14ac:dyDescent="0.2">
      <c r="D2181" s="1"/>
    </row>
    <row r="2182" spans="4:4" x14ac:dyDescent="0.2">
      <c r="D2182" s="1"/>
    </row>
    <row r="2183" spans="4:4" x14ac:dyDescent="0.2">
      <c r="D2183" s="1"/>
    </row>
    <row r="2184" spans="4:4" x14ac:dyDescent="0.2">
      <c r="D2184" s="1"/>
    </row>
    <row r="2185" spans="4:4" x14ac:dyDescent="0.2">
      <c r="D2185" s="1"/>
    </row>
    <row r="2186" spans="4:4" x14ac:dyDescent="0.2">
      <c r="D2186" s="1"/>
    </row>
    <row r="2187" spans="4:4" x14ac:dyDescent="0.2">
      <c r="D2187" s="1"/>
    </row>
    <row r="2188" spans="4:4" x14ac:dyDescent="0.2">
      <c r="D2188" s="1"/>
    </row>
    <row r="2189" spans="4:4" x14ac:dyDescent="0.2">
      <c r="D2189" s="1"/>
    </row>
    <row r="2190" spans="4:4" x14ac:dyDescent="0.2">
      <c r="D2190" s="1"/>
    </row>
    <row r="2191" spans="4:4" x14ac:dyDescent="0.2">
      <c r="D2191" s="1"/>
    </row>
    <row r="2192" spans="4:4" x14ac:dyDescent="0.2">
      <c r="D2192" s="1"/>
    </row>
    <row r="2193" spans="4:4" x14ac:dyDescent="0.2">
      <c r="D2193" s="1"/>
    </row>
    <row r="2194" spans="4:4" x14ac:dyDescent="0.2">
      <c r="D2194" s="1"/>
    </row>
    <row r="2195" spans="4:4" x14ac:dyDescent="0.2">
      <c r="D2195" s="1"/>
    </row>
    <row r="2196" spans="4:4" x14ac:dyDescent="0.2">
      <c r="D2196" s="1"/>
    </row>
    <row r="2197" spans="4:4" x14ac:dyDescent="0.2">
      <c r="D2197" s="1"/>
    </row>
    <row r="2198" spans="4:4" x14ac:dyDescent="0.2">
      <c r="D2198" s="1"/>
    </row>
    <row r="2199" spans="4:4" x14ac:dyDescent="0.2">
      <c r="D2199" s="1"/>
    </row>
    <row r="2200" spans="4:4" x14ac:dyDescent="0.2">
      <c r="D2200" s="1"/>
    </row>
    <row r="2201" spans="4:4" x14ac:dyDescent="0.2">
      <c r="D2201" s="1"/>
    </row>
    <row r="2202" spans="4:4" x14ac:dyDescent="0.2">
      <c r="D2202" s="1"/>
    </row>
    <row r="2203" spans="4:4" x14ac:dyDescent="0.2">
      <c r="D2203" s="1"/>
    </row>
    <row r="2204" spans="4:4" x14ac:dyDescent="0.2">
      <c r="D2204" s="1"/>
    </row>
    <row r="2205" spans="4:4" x14ac:dyDescent="0.2">
      <c r="D2205" s="1"/>
    </row>
    <row r="2206" spans="4:4" x14ac:dyDescent="0.2">
      <c r="D2206" s="1"/>
    </row>
    <row r="2207" spans="4:4" x14ac:dyDescent="0.2">
      <c r="D2207" s="1"/>
    </row>
    <row r="2208" spans="4:4" x14ac:dyDescent="0.2">
      <c r="D2208" s="1"/>
    </row>
    <row r="2209" spans="4:4" x14ac:dyDescent="0.2">
      <c r="D2209" s="1"/>
    </row>
    <row r="2210" spans="4:4" x14ac:dyDescent="0.2">
      <c r="D2210" s="1"/>
    </row>
    <row r="2211" spans="4:4" x14ac:dyDescent="0.2">
      <c r="D2211" s="1"/>
    </row>
    <row r="2212" spans="4:4" x14ac:dyDescent="0.2">
      <c r="D2212" s="1"/>
    </row>
    <row r="2213" spans="4:4" x14ac:dyDescent="0.2">
      <c r="D2213" s="1"/>
    </row>
    <row r="2214" spans="4:4" x14ac:dyDescent="0.2">
      <c r="D2214" s="1"/>
    </row>
    <row r="2215" spans="4:4" x14ac:dyDescent="0.2">
      <c r="D2215" s="1"/>
    </row>
    <row r="2216" spans="4:4" x14ac:dyDescent="0.2">
      <c r="D2216" s="1"/>
    </row>
    <row r="2217" spans="4:4" x14ac:dyDescent="0.2">
      <c r="D2217" s="1"/>
    </row>
    <row r="2218" spans="4:4" x14ac:dyDescent="0.2">
      <c r="D2218" s="1"/>
    </row>
    <row r="2219" spans="4:4" x14ac:dyDescent="0.2">
      <c r="D2219" s="1"/>
    </row>
    <row r="2220" spans="4:4" x14ac:dyDescent="0.2">
      <c r="D2220" s="1"/>
    </row>
    <row r="2221" spans="4:4" x14ac:dyDescent="0.2">
      <c r="D2221" s="1"/>
    </row>
    <row r="2222" spans="4:4" x14ac:dyDescent="0.2">
      <c r="D2222" s="1"/>
    </row>
    <row r="2223" spans="4:4" x14ac:dyDescent="0.2">
      <c r="D2223" s="1"/>
    </row>
    <row r="2224" spans="4:4" x14ac:dyDescent="0.2">
      <c r="D2224" s="1"/>
    </row>
    <row r="2225" spans="4:4" x14ac:dyDescent="0.2">
      <c r="D2225" s="1"/>
    </row>
    <row r="2226" spans="4:4" x14ac:dyDescent="0.2">
      <c r="D2226" s="1"/>
    </row>
    <row r="2227" spans="4:4" x14ac:dyDescent="0.2">
      <c r="D2227" s="1"/>
    </row>
    <row r="2228" spans="4:4" x14ac:dyDescent="0.2">
      <c r="D2228" s="1"/>
    </row>
    <row r="2229" spans="4:4" x14ac:dyDescent="0.2">
      <c r="D2229" s="1"/>
    </row>
    <row r="2230" spans="4:4" x14ac:dyDescent="0.2">
      <c r="D2230" s="1"/>
    </row>
    <row r="2231" spans="4:4" x14ac:dyDescent="0.2">
      <c r="D2231" s="1"/>
    </row>
    <row r="2232" spans="4:4" x14ac:dyDescent="0.2">
      <c r="D2232" s="1"/>
    </row>
    <row r="2233" spans="4:4" x14ac:dyDescent="0.2">
      <c r="D2233" s="1"/>
    </row>
    <row r="2234" spans="4:4" x14ac:dyDescent="0.2">
      <c r="D2234" s="1"/>
    </row>
    <row r="2235" spans="4:4" x14ac:dyDescent="0.2">
      <c r="D2235" s="1"/>
    </row>
    <row r="2236" spans="4:4" x14ac:dyDescent="0.2">
      <c r="D2236" s="1"/>
    </row>
    <row r="2237" spans="4:4" x14ac:dyDescent="0.2">
      <c r="D2237" s="1"/>
    </row>
    <row r="2238" spans="4:4" x14ac:dyDescent="0.2">
      <c r="D2238" s="1"/>
    </row>
    <row r="2239" spans="4:4" x14ac:dyDescent="0.2">
      <c r="D2239" s="1"/>
    </row>
    <row r="2240" spans="4:4" x14ac:dyDescent="0.2">
      <c r="D2240" s="1"/>
    </row>
    <row r="2241" spans="4:4" x14ac:dyDescent="0.2">
      <c r="D2241" s="1"/>
    </row>
    <row r="2242" spans="4:4" x14ac:dyDescent="0.2">
      <c r="D2242" s="1"/>
    </row>
    <row r="2243" spans="4:4" x14ac:dyDescent="0.2">
      <c r="D2243" s="1"/>
    </row>
    <row r="2244" spans="4:4" x14ac:dyDescent="0.2">
      <c r="D2244" s="1"/>
    </row>
    <row r="2245" spans="4:4" x14ac:dyDescent="0.2">
      <c r="D2245" s="1"/>
    </row>
    <row r="2246" spans="4:4" x14ac:dyDescent="0.2">
      <c r="D2246" s="1"/>
    </row>
    <row r="2247" spans="4:4" x14ac:dyDescent="0.2">
      <c r="D2247" s="1"/>
    </row>
    <row r="2248" spans="4:4" x14ac:dyDescent="0.2">
      <c r="D2248" s="1"/>
    </row>
    <row r="2249" spans="4:4" x14ac:dyDescent="0.2">
      <c r="D2249" s="1"/>
    </row>
    <row r="2250" spans="4:4" x14ac:dyDescent="0.2">
      <c r="D2250" s="1"/>
    </row>
    <row r="2251" spans="4:4" x14ac:dyDescent="0.2">
      <c r="D2251" s="1"/>
    </row>
    <row r="2252" spans="4:4" x14ac:dyDescent="0.2">
      <c r="D2252" s="1"/>
    </row>
    <row r="2253" spans="4:4" x14ac:dyDescent="0.2">
      <c r="D2253" s="1"/>
    </row>
    <row r="2254" spans="4:4" x14ac:dyDescent="0.2">
      <c r="D2254" s="1"/>
    </row>
    <row r="2255" spans="4:4" x14ac:dyDescent="0.2">
      <c r="D2255" s="1"/>
    </row>
    <row r="2256" spans="4:4" x14ac:dyDescent="0.2">
      <c r="D2256" s="1"/>
    </row>
    <row r="2257" spans="4:4" x14ac:dyDescent="0.2">
      <c r="D2257" s="1"/>
    </row>
    <row r="2258" spans="4:4" x14ac:dyDescent="0.2">
      <c r="D2258" s="1"/>
    </row>
    <row r="2259" spans="4:4" x14ac:dyDescent="0.2">
      <c r="D2259" s="1"/>
    </row>
    <row r="2260" spans="4:4" x14ac:dyDescent="0.2">
      <c r="D2260" s="1"/>
    </row>
    <row r="2261" spans="4:4" x14ac:dyDescent="0.2">
      <c r="D2261" s="1"/>
    </row>
    <row r="2262" spans="4:4" x14ac:dyDescent="0.2">
      <c r="D2262" s="1"/>
    </row>
    <row r="2263" spans="4:4" x14ac:dyDescent="0.2">
      <c r="D2263" s="1"/>
    </row>
    <row r="2264" spans="4:4" x14ac:dyDescent="0.2">
      <c r="D2264" s="1"/>
    </row>
    <row r="2265" spans="4:4" x14ac:dyDescent="0.2">
      <c r="D2265" s="1"/>
    </row>
    <row r="2266" spans="4:4" x14ac:dyDescent="0.2">
      <c r="D2266" s="1"/>
    </row>
    <row r="2267" spans="4:4" x14ac:dyDescent="0.2">
      <c r="D2267" s="1"/>
    </row>
    <row r="2268" spans="4:4" x14ac:dyDescent="0.2">
      <c r="D2268" s="1"/>
    </row>
    <row r="2269" spans="4:4" x14ac:dyDescent="0.2">
      <c r="D2269" s="1"/>
    </row>
    <row r="2270" spans="4:4" x14ac:dyDescent="0.2">
      <c r="D2270" s="1"/>
    </row>
    <row r="2271" spans="4:4" x14ac:dyDescent="0.2">
      <c r="D2271" s="1"/>
    </row>
    <row r="2272" spans="4:4" x14ac:dyDescent="0.2">
      <c r="D2272" s="1"/>
    </row>
    <row r="2273" spans="4:4" x14ac:dyDescent="0.2">
      <c r="D2273" s="1"/>
    </row>
    <row r="2274" spans="4:4" x14ac:dyDescent="0.2">
      <c r="D2274" s="1"/>
    </row>
    <row r="2275" spans="4:4" x14ac:dyDescent="0.2">
      <c r="D2275" s="1"/>
    </row>
    <row r="2276" spans="4:4" x14ac:dyDescent="0.2">
      <c r="D2276" s="1"/>
    </row>
    <row r="2277" spans="4:4" x14ac:dyDescent="0.2">
      <c r="D2277" s="1"/>
    </row>
    <row r="2278" spans="4:4" x14ac:dyDescent="0.2">
      <c r="D2278" s="1"/>
    </row>
    <row r="2279" spans="4:4" x14ac:dyDescent="0.2">
      <c r="D2279" s="1"/>
    </row>
    <row r="2280" spans="4:4" x14ac:dyDescent="0.2">
      <c r="D2280" s="1"/>
    </row>
    <row r="2281" spans="4:4" x14ac:dyDescent="0.2">
      <c r="D2281" s="1"/>
    </row>
    <row r="2282" spans="4:4" x14ac:dyDescent="0.2">
      <c r="D2282" s="1"/>
    </row>
    <row r="2283" spans="4:4" x14ac:dyDescent="0.2">
      <c r="D2283" s="1"/>
    </row>
    <row r="2284" spans="4:4" x14ac:dyDescent="0.2">
      <c r="D2284" s="1"/>
    </row>
    <row r="2285" spans="4:4" x14ac:dyDescent="0.2">
      <c r="D2285" s="1"/>
    </row>
    <row r="2286" spans="4:4" x14ac:dyDescent="0.2">
      <c r="D2286" s="1"/>
    </row>
    <row r="2287" spans="4:4" x14ac:dyDescent="0.2">
      <c r="D2287" s="1"/>
    </row>
    <row r="2288" spans="4:4" x14ac:dyDescent="0.2">
      <c r="D2288" s="1"/>
    </row>
    <row r="2289" spans="4:4" x14ac:dyDescent="0.2">
      <c r="D2289" s="1"/>
    </row>
    <row r="2290" spans="4:4" x14ac:dyDescent="0.2">
      <c r="D2290" s="1"/>
    </row>
    <row r="2291" spans="4:4" x14ac:dyDescent="0.2">
      <c r="D2291" s="1"/>
    </row>
    <row r="2292" spans="4:4" x14ac:dyDescent="0.2">
      <c r="D2292" s="1"/>
    </row>
    <row r="2293" spans="4:4" x14ac:dyDescent="0.2">
      <c r="D2293" s="1"/>
    </row>
    <row r="2294" spans="4:4" x14ac:dyDescent="0.2">
      <c r="D2294" s="1"/>
    </row>
    <row r="2295" spans="4:4" x14ac:dyDescent="0.2">
      <c r="D2295" s="1"/>
    </row>
    <row r="2296" spans="4:4" x14ac:dyDescent="0.2">
      <c r="D2296" s="1"/>
    </row>
    <row r="2297" spans="4:4" x14ac:dyDescent="0.2">
      <c r="D2297" s="1"/>
    </row>
    <row r="2298" spans="4:4" x14ac:dyDescent="0.2">
      <c r="D2298" s="1"/>
    </row>
    <row r="2299" spans="4:4" x14ac:dyDescent="0.2">
      <c r="D2299" s="1"/>
    </row>
    <row r="2300" spans="4:4" x14ac:dyDescent="0.2">
      <c r="D2300" s="1"/>
    </row>
    <row r="2301" spans="4:4" x14ac:dyDescent="0.2">
      <c r="D2301" s="1"/>
    </row>
    <row r="2302" spans="4:4" x14ac:dyDescent="0.2">
      <c r="D2302" s="1"/>
    </row>
    <row r="2303" spans="4:4" x14ac:dyDescent="0.2">
      <c r="D2303" s="1"/>
    </row>
    <row r="2304" spans="4:4" x14ac:dyDescent="0.2">
      <c r="D2304" s="1"/>
    </row>
    <row r="2305" spans="4:4" x14ac:dyDescent="0.2">
      <c r="D2305" s="1"/>
    </row>
    <row r="2306" spans="4:4" x14ac:dyDescent="0.2">
      <c r="D2306" s="1"/>
    </row>
    <row r="2307" spans="4:4" x14ac:dyDescent="0.2">
      <c r="D2307" s="1"/>
    </row>
    <row r="2308" spans="4:4" x14ac:dyDescent="0.2">
      <c r="D2308" s="1"/>
    </row>
    <row r="2309" spans="4:4" x14ac:dyDescent="0.2">
      <c r="D2309" s="1"/>
    </row>
    <row r="2310" spans="4:4" x14ac:dyDescent="0.2">
      <c r="D2310" s="1"/>
    </row>
    <row r="2311" spans="4:4" x14ac:dyDescent="0.2">
      <c r="D2311" s="1"/>
    </row>
    <row r="2312" spans="4:4" x14ac:dyDescent="0.2">
      <c r="D2312" s="1"/>
    </row>
    <row r="2313" spans="4:4" x14ac:dyDescent="0.2">
      <c r="D2313" s="1"/>
    </row>
    <row r="2314" spans="4:4" x14ac:dyDescent="0.2">
      <c r="D2314" s="1"/>
    </row>
    <row r="2315" spans="4:4" x14ac:dyDescent="0.2">
      <c r="D2315" s="1"/>
    </row>
    <row r="2316" spans="4:4" x14ac:dyDescent="0.2">
      <c r="D2316" s="1"/>
    </row>
    <row r="2317" spans="4:4" x14ac:dyDescent="0.2">
      <c r="D2317" s="1"/>
    </row>
    <row r="2318" spans="4:4" x14ac:dyDescent="0.2">
      <c r="D2318" s="1"/>
    </row>
    <row r="2319" spans="4:4" x14ac:dyDescent="0.2">
      <c r="D2319" s="1"/>
    </row>
    <row r="2320" spans="4:4" x14ac:dyDescent="0.2">
      <c r="D2320" s="1"/>
    </row>
    <row r="2321" spans="4:4" x14ac:dyDescent="0.2">
      <c r="D2321" s="1"/>
    </row>
    <row r="2322" spans="4:4" x14ac:dyDescent="0.2">
      <c r="D2322" s="1"/>
    </row>
    <row r="2323" spans="4:4" x14ac:dyDescent="0.2">
      <c r="D2323" s="1"/>
    </row>
    <row r="2324" spans="4:4" x14ac:dyDescent="0.2">
      <c r="D2324" s="1"/>
    </row>
    <row r="2325" spans="4:4" x14ac:dyDescent="0.2">
      <c r="D2325" s="1"/>
    </row>
    <row r="2326" spans="4:4" x14ac:dyDescent="0.2">
      <c r="D2326" s="1"/>
    </row>
    <row r="2327" spans="4:4" x14ac:dyDescent="0.2">
      <c r="D2327" s="1"/>
    </row>
    <row r="2328" spans="4:4" x14ac:dyDescent="0.2">
      <c r="D2328" s="1"/>
    </row>
    <row r="2329" spans="4:4" x14ac:dyDescent="0.2">
      <c r="D2329" s="1"/>
    </row>
    <row r="2330" spans="4:4" x14ac:dyDescent="0.2">
      <c r="D2330" s="1"/>
    </row>
    <row r="2331" spans="4:4" x14ac:dyDescent="0.2">
      <c r="D2331" s="1"/>
    </row>
    <row r="2332" spans="4:4" x14ac:dyDescent="0.2">
      <c r="D2332" s="1"/>
    </row>
    <row r="2333" spans="4:4" x14ac:dyDescent="0.2">
      <c r="D2333" s="1"/>
    </row>
    <row r="2334" spans="4:4" x14ac:dyDescent="0.2">
      <c r="D2334" s="1"/>
    </row>
    <row r="2335" spans="4:4" x14ac:dyDescent="0.2">
      <c r="D2335" s="1"/>
    </row>
    <row r="2336" spans="4:4" x14ac:dyDescent="0.2">
      <c r="D2336" s="1"/>
    </row>
    <row r="2337" spans="4:4" x14ac:dyDescent="0.2">
      <c r="D2337" s="1"/>
    </row>
    <row r="2338" spans="4:4" x14ac:dyDescent="0.2">
      <c r="D2338" s="1"/>
    </row>
    <row r="2339" spans="4:4" x14ac:dyDescent="0.2">
      <c r="D2339" s="1"/>
    </row>
    <row r="2340" spans="4:4" x14ac:dyDescent="0.2">
      <c r="D2340" s="1"/>
    </row>
    <row r="2341" spans="4:4" x14ac:dyDescent="0.2">
      <c r="D2341" s="1"/>
    </row>
    <row r="2342" spans="4:4" x14ac:dyDescent="0.2">
      <c r="D2342" s="1"/>
    </row>
    <row r="2343" spans="4:4" x14ac:dyDescent="0.2">
      <c r="D2343" s="1"/>
    </row>
    <row r="2344" spans="4:4" x14ac:dyDescent="0.2">
      <c r="D2344" s="1"/>
    </row>
    <row r="2345" spans="4:4" x14ac:dyDescent="0.2">
      <c r="D2345" s="1"/>
    </row>
    <row r="2346" spans="4:4" x14ac:dyDescent="0.2">
      <c r="D2346" s="1"/>
    </row>
    <row r="2347" spans="4:4" x14ac:dyDescent="0.2">
      <c r="D2347" s="1"/>
    </row>
    <row r="2348" spans="4:4" x14ac:dyDescent="0.2">
      <c r="D2348" s="1"/>
    </row>
    <row r="2349" spans="4:4" x14ac:dyDescent="0.2">
      <c r="D2349" s="1"/>
    </row>
    <row r="2350" spans="4:4" x14ac:dyDescent="0.2">
      <c r="D2350" s="1"/>
    </row>
    <row r="2351" spans="4:4" x14ac:dyDescent="0.2">
      <c r="D2351" s="1"/>
    </row>
    <row r="2352" spans="4:4" x14ac:dyDescent="0.2">
      <c r="D2352" s="1"/>
    </row>
    <row r="2353" spans="4:4" x14ac:dyDescent="0.2">
      <c r="D2353" s="1"/>
    </row>
    <row r="2354" spans="4:4" x14ac:dyDescent="0.2">
      <c r="D2354" s="1"/>
    </row>
    <row r="2355" spans="4:4" x14ac:dyDescent="0.2">
      <c r="D2355" s="1"/>
    </row>
    <row r="2356" spans="4:4" x14ac:dyDescent="0.2">
      <c r="D2356" s="1"/>
    </row>
    <row r="2357" spans="4:4" x14ac:dyDescent="0.2">
      <c r="D2357" s="1"/>
    </row>
    <row r="2358" spans="4:4" x14ac:dyDescent="0.2">
      <c r="D2358" s="1"/>
    </row>
    <row r="2359" spans="4:4" x14ac:dyDescent="0.2">
      <c r="D2359" s="1"/>
    </row>
    <row r="2360" spans="4:4" x14ac:dyDescent="0.2">
      <c r="D2360" s="1"/>
    </row>
    <row r="2361" spans="4:4" x14ac:dyDescent="0.2">
      <c r="D2361" s="1"/>
    </row>
    <row r="2362" spans="4:4" x14ac:dyDescent="0.2">
      <c r="D2362" s="1"/>
    </row>
    <row r="2363" spans="4:4" x14ac:dyDescent="0.2">
      <c r="D2363" s="1"/>
    </row>
    <row r="2364" spans="4:4" x14ac:dyDescent="0.2">
      <c r="D2364" s="1"/>
    </row>
    <row r="2365" spans="4:4" x14ac:dyDescent="0.2">
      <c r="D2365" s="1"/>
    </row>
    <row r="2366" spans="4:4" x14ac:dyDescent="0.2">
      <c r="D2366" s="1"/>
    </row>
    <row r="2367" spans="4:4" x14ac:dyDescent="0.2">
      <c r="D2367" s="1"/>
    </row>
    <row r="2368" spans="4:4" x14ac:dyDescent="0.2">
      <c r="D2368" s="1"/>
    </row>
    <row r="2369" spans="4:4" x14ac:dyDescent="0.2">
      <c r="D2369" s="1"/>
    </row>
    <row r="2370" spans="4:4" x14ac:dyDescent="0.2">
      <c r="D2370" s="1"/>
    </row>
    <row r="2371" spans="4:4" x14ac:dyDescent="0.2">
      <c r="D2371" s="1"/>
    </row>
    <row r="2372" spans="4:4" x14ac:dyDescent="0.2">
      <c r="D2372" s="1"/>
    </row>
    <row r="2373" spans="4:4" x14ac:dyDescent="0.2">
      <c r="D2373" s="1"/>
    </row>
    <row r="2374" spans="4:4" x14ac:dyDescent="0.2">
      <c r="D2374" s="1"/>
    </row>
    <row r="2375" spans="4:4" x14ac:dyDescent="0.2">
      <c r="D2375" s="1"/>
    </row>
    <row r="2376" spans="4:4" x14ac:dyDescent="0.2">
      <c r="D2376" s="1"/>
    </row>
    <row r="2377" spans="4:4" x14ac:dyDescent="0.2">
      <c r="D2377" s="1"/>
    </row>
    <row r="2378" spans="4:4" x14ac:dyDescent="0.2">
      <c r="D2378" s="1"/>
    </row>
    <row r="2379" spans="4:4" x14ac:dyDescent="0.2">
      <c r="D2379" s="1"/>
    </row>
    <row r="2380" spans="4:4" x14ac:dyDescent="0.2">
      <c r="D2380" s="1"/>
    </row>
    <row r="2381" spans="4:4" x14ac:dyDescent="0.2">
      <c r="D2381" s="1"/>
    </row>
    <row r="2383" spans="4:4" x14ac:dyDescent="0.2">
      <c r="D2383" s="1"/>
    </row>
    <row r="2384" spans="4:4" x14ac:dyDescent="0.2">
      <c r="D2384" s="1"/>
    </row>
    <row r="2385" spans="4:4" x14ac:dyDescent="0.2">
      <c r="D2385" s="1"/>
    </row>
    <row r="2386" spans="4:4" x14ac:dyDescent="0.2">
      <c r="D2386" s="1"/>
    </row>
    <row r="2387" spans="4:4" x14ac:dyDescent="0.2">
      <c r="D2387" s="1"/>
    </row>
    <row r="2389" spans="4:4" x14ac:dyDescent="0.2">
      <c r="D2389" s="1"/>
    </row>
    <row r="2391" spans="4:4" x14ac:dyDescent="0.2">
      <c r="D2391" s="1"/>
    </row>
    <row r="2393" spans="4:4" x14ac:dyDescent="0.2">
      <c r="D2393" s="1"/>
    </row>
    <row r="2394" spans="4:4" x14ac:dyDescent="0.2">
      <c r="D2394" s="1"/>
    </row>
    <row r="2396" spans="4:4" x14ac:dyDescent="0.2">
      <c r="D2396" s="1"/>
    </row>
    <row r="2397" spans="4:4" x14ac:dyDescent="0.2">
      <c r="D2397" s="1"/>
    </row>
    <row r="2403" spans="4:4" x14ac:dyDescent="0.2">
      <c r="D2403" s="1"/>
    </row>
    <row r="2405" spans="4:4" x14ac:dyDescent="0.2">
      <c r="D2405" s="1"/>
    </row>
    <row r="2407" spans="4:4" x14ac:dyDescent="0.2">
      <c r="D2407" s="1"/>
    </row>
    <row r="2411" spans="4:4" x14ac:dyDescent="0.2">
      <c r="D2411" s="1"/>
    </row>
    <row r="2428" spans="4:4" x14ac:dyDescent="0.2">
      <c r="D2428" s="1"/>
    </row>
    <row r="2431" spans="4:4" x14ac:dyDescent="0.2">
      <c r="D2431" s="1"/>
    </row>
    <row r="2447" spans="4:4" x14ac:dyDescent="0.2">
      <c r="D2447" s="1"/>
    </row>
  </sheetData>
  <mergeCells count="2">
    <mergeCell ref="A7:D7"/>
    <mergeCell ref="F7:H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B86E-8CE3-4E31-816F-4DDA2ECE0A55}">
  <dimension ref="A2:H2447"/>
  <sheetViews>
    <sheetView topLeftCell="A217" workbookViewId="0">
      <selection activeCell="G23" sqref="G23"/>
    </sheetView>
  </sheetViews>
  <sheetFormatPr baseColWidth="10" defaultColWidth="8.83203125" defaultRowHeight="15" x14ac:dyDescent="0.2"/>
  <cols>
    <col min="1" max="1" width="16.1640625" customWidth="1"/>
    <col min="2" max="2" width="17.33203125" customWidth="1"/>
    <col min="3" max="3" width="14" customWidth="1"/>
    <col min="4" max="4" width="15.1640625" customWidth="1"/>
    <col min="5" max="5" width="10.33203125" customWidth="1"/>
    <col min="6" max="6" width="13.6640625" customWidth="1"/>
    <col min="7" max="7" width="12.6640625" customWidth="1"/>
  </cols>
  <sheetData>
    <row r="2" spans="1:8" x14ac:dyDescent="0.2">
      <c r="B2" t="s">
        <v>24</v>
      </c>
    </row>
    <row r="3" spans="1:8" x14ac:dyDescent="0.2"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8" x14ac:dyDescent="0.2">
      <c r="C4" s="1">
        <f>'sample info summary'!B16*10^-6</f>
        <v>8.2639999999999995E-5</v>
      </c>
      <c r="D4">
        <f>'sample info summary'!C16</f>
        <v>4</v>
      </c>
      <c r="E4">
        <f>'sample info summary'!D16</f>
        <v>4.0199999999999996</v>
      </c>
      <c r="F4">
        <f>'sample info summary'!E16</f>
        <v>1E-4</v>
      </c>
      <c r="G4" s="1">
        <f>(D4*E4*F4)*0.000000001</f>
        <v>1.608E-12</v>
      </c>
    </row>
    <row r="7" spans="1:8" x14ac:dyDescent="0.2">
      <c r="A7" s="17" t="s">
        <v>9</v>
      </c>
      <c r="B7" s="17"/>
      <c r="C7" s="17"/>
      <c r="D7" s="17"/>
      <c r="F7" s="17" t="s">
        <v>10</v>
      </c>
      <c r="G7" s="17"/>
      <c r="H7" s="17"/>
    </row>
    <row r="8" spans="1:8" x14ac:dyDescent="0.2">
      <c r="A8" t="s">
        <v>11</v>
      </c>
      <c r="B8" t="s">
        <v>12</v>
      </c>
      <c r="C8" t="s">
        <v>13</v>
      </c>
      <c r="D8" t="s">
        <v>14</v>
      </c>
      <c r="F8" t="s">
        <v>16</v>
      </c>
      <c r="G8" t="s">
        <v>15</v>
      </c>
      <c r="H8" t="s">
        <v>17</v>
      </c>
    </row>
    <row r="9" spans="1:8" x14ac:dyDescent="0.2">
      <c r="A9">
        <v>293.16191101074202</v>
      </c>
      <c r="B9">
        <v>-0.19975155591964699</v>
      </c>
      <c r="C9" s="1">
        <v>1.1276885311283E-5</v>
      </c>
      <c r="D9" s="1">
        <v>2.8582661986810499E-7</v>
      </c>
      <c r="F9">
        <f t="shared" ref="F9:F72" si="0">C9/1000</f>
        <v>1.1276885311283E-8</v>
      </c>
      <c r="G9">
        <f t="shared" ref="G9:G72" si="1">(B9*1000)/(4*PI())</f>
        <v>-15.895723757454483</v>
      </c>
      <c r="H9">
        <f t="shared" ref="H9:H72" si="2">F9/$G$4</f>
        <v>7012.988377663557</v>
      </c>
    </row>
    <row r="10" spans="1:8" x14ac:dyDescent="0.2">
      <c r="A10">
        <v>293.15005493164102</v>
      </c>
      <c r="B10">
        <v>1.1077132225036599</v>
      </c>
      <c r="C10" s="1">
        <v>1.16194251677341E-5</v>
      </c>
      <c r="D10" s="1">
        <v>3.3179870945809E-7</v>
      </c>
      <c r="F10">
        <f t="shared" si="0"/>
        <v>1.1619425167734101E-8</v>
      </c>
      <c r="G10">
        <f t="shared" si="1"/>
        <v>88.149017444854991</v>
      </c>
      <c r="H10">
        <f t="shared" si="2"/>
        <v>7226.0106764515549</v>
      </c>
    </row>
    <row r="11" spans="1:8" x14ac:dyDescent="0.2">
      <c r="A11">
        <v>293.14601135253901</v>
      </c>
      <c r="B11">
        <v>1.16219085454941</v>
      </c>
      <c r="C11" s="1">
        <v>1.2058073217658701E-5</v>
      </c>
      <c r="D11" s="1">
        <v>2.8465386555655199E-7</v>
      </c>
      <c r="F11">
        <f t="shared" si="0"/>
        <v>1.2058073217658701E-8</v>
      </c>
      <c r="G11">
        <f t="shared" si="1"/>
        <v>92.484209658866277</v>
      </c>
      <c r="H11">
        <f t="shared" si="2"/>
        <v>7498.8017522753116</v>
      </c>
    </row>
    <row r="12" spans="1:8" x14ac:dyDescent="0.2">
      <c r="A12">
        <v>293.14143371582003</v>
      </c>
      <c r="B12">
        <v>1.1621909141540501</v>
      </c>
      <c r="C12" s="1">
        <v>1.22394258969909E-5</v>
      </c>
      <c r="D12" s="1">
        <v>3.2400246007356499E-7</v>
      </c>
      <c r="F12">
        <f t="shared" si="0"/>
        <v>1.22394258969909E-8</v>
      </c>
      <c r="G12">
        <f t="shared" si="1"/>
        <v>92.484214402052828</v>
      </c>
      <c r="H12">
        <f t="shared" si="2"/>
        <v>7611.5832692729482</v>
      </c>
    </row>
    <row r="13" spans="1:8" x14ac:dyDescent="0.2">
      <c r="A13">
        <v>293.134521484375</v>
      </c>
      <c r="B13">
        <v>1.62525123357773</v>
      </c>
      <c r="C13" s="1">
        <v>1.23512363955578E-5</v>
      </c>
      <c r="D13" s="1">
        <v>3.4063177504613702E-7</v>
      </c>
      <c r="F13">
        <f t="shared" si="0"/>
        <v>1.23512363955578E-8</v>
      </c>
      <c r="G13">
        <f t="shared" si="1"/>
        <v>129.33338379504818</v>
      </c>
      <c r="H13">
        <f t="shared" si="2"/>
        <v>7681.1171614165423</v>
      </c>
    </row>
    <row r="14" spans="1:8" x14ac:dyDescent="0.2">
      <c r="A14">
        <v>293.12669372558599</v>
      </c>
      <c r="B14">
        <v>2.2971428632736202</v>
      </c>
      <c r="C14" s="1">
        <v>1.22807872201832E-5</v>
      </c>
      <c r="D14" s="1">
        <v>3.41870147811699E-7</v>
      </c>
      <c r="F14">
        <f t="shared" si="0"/>
        <v>1.22807872201832E-8</v>
      </c>
      <c r="G14">
        <f t="shared" si="1"/>
        <v>182.80082083913328</v>
      </c>
      <c r="H14">
        <f t="shared" si="2"/>
        <v>7637.3054851885572</v>
      </c>
    </row>
    <row r="15" spans="1:8" x14ac:dyDescent="0.2">
      <c r="A15">
        <v>293.12055969238298</v>
      </c>
      <c r="B15">
        <v>2.7783625125885001</v>
      </c>
      <c r="C15" s="1">
        <v>1.2194766843921E-5</v>
      </c>
      <c r="D15" s="1">
        <v>3.5810571544409799E-7</v>
      </c>
      <c r="F15">
        <f t="shared" si="0"/>
        <v>1.2194766843921E-8</v>
      </c>
      <c r="G15">
        <f t="shared" si="1"/>
        <v>221.09506378983903</v>
      </c>
      <c r="H15">
        <f t="shared" si="2"/>
        <v>7583.8102263190303</v>
      </c>
    </row>
    <row r="16" spans="1:8" x14ac:dyDescent="0.2">
      <c r="A16">
        <v>293.11405944824202</v>
      </c>
      <c r="B16">
        <v>3.2868210077285802</v>
      </c>
      <c r="C16" s="1">
        <v>1.2213319005022999E-5</v>
      </c>
      <c r="D16" s="1">
        <v>2.89818203192596E-7</v>
      </c>
      <c r="F16">
        <f t="shared" si="0"/>
        <v>1.2213319005022999E-8</v>
      </c>
      <c r="G16">
        <f t="shared" si="1"/>
        <v>261.55690521914414</v>
      </c>
      <c r="H16">
        <f t="shared" si="2"/>
        <v>7595.3476399396759</v>
      </c>
    </row>
    <row r="17" spans="1:8" x14ac:dyDescent="0.2">
      <c r="A17">
        <v>293.10549926757801</v>
      </c>
      <c r="B17">
        <v>4.7304797172546396</v>
      </c>
      <c r="C17" s="1">
        <v>1.2092543484600499E-5</v>
      </c>
      <c r="D17" s="1">
        <v>3.51581607065087E-7</v>
      </c>
      <c r="F17">
        <f t="shared" si="0"/>
        <v>1.2092543484600499E-8</v>
      </c>
      <c r="G17">
        <f t="shared" si="1"/>
        <v>376.43961509851368</v>
      </c>
      <c r="H17">
        <f t="shared" si="2"/>
        <v>7520.2384854480715</v>
      </c>
    </row>
    <row r="18" spans="1:8" x14ac:dyDescent="0.2">
      <c r="A18">
        <v>293.09934997558599</v>
      </c>
      <c r="B18">
        <v>5.4386899471283003</v>
      </c>
      <c r="C18" s="1">
        <v>1.20615850621018E-5</v>
      </c>
      <c r="D18" s="1">
        <v>3.0445250158593401E-7</v>
      </c>
      <c r="F18">
        <f t="shared" si="0"/>
        <v>1.20615850621018E-8</v>
      </c>
      <c r="G18">
        <f t="shared" si="1"/>
        <v>432.79719451483396</v>
      </c>
      <c r="H18">
        <f t="shared" si="2"/>
        <v>7500.9857351379351</v>
      </c>
    </row>
    <row r="19" spans="1:8" x14ac:dyDescent="0.2">
      <c r="A19">
        <v>293.09402465820301</v>
      </c>
      <c r="B19">
        <v>7.3181705474853498</v>
      </c>
      <c r="C19" s="1">
        <v>1.27069005946071E-5</v>
      </c>
      <c r="D19" s="1">
        <v>2.6681591594071199E-7</v>
      </c>
      <c r="F19">
        <f t="shared" si="0"/>
        <v>1.2706900594607101E-8</v>
      </c>
      <c r="G19">
        <f t="shared" si="1"/>
        <v>582.3615085109077</v>
      </c>
      <c r="H19">
        <f t="shared" si="2"/>
        <v>7902.3013648054111</v>
      </c>
    </row>
    <row r="20" spans="1:8" x14ac:dyDescent="0.2">
      <c r="A20">
        <v>293.08761596679699</v>
      </c>
      <c r="B20">
        <v>8.9434218406677193</v>
      </c>
      <c r="C20" s="1">
        <v>1.3160300261238E-5</v>
      </c>
      <c r="D20" s="1">
        <v>3.5086858572992299E-7</v>
      </c>
      <c r="F20">
        <f t="shared" si="0"/>
        <v>1.3160300261238E-8</v>
      </c>
      <c r="G20">
        <f t="shared" si="1"/>
        <v>711.69489704914236</v>
      </c>
      <c r="H20">
        <f t="shared" si="2"/>
        <v>8184.2663316156713</v>
      </c>
    </row>
    <row r="21" spans="1:8" x14ac:dyDescent="0.2">
      <c r="A21">
        <v>293.08161926269503</v>
      </c>
      <c r="B21">
        <v>10.959096431732201</v>
      </c>
      <c r="C21" s="1">
        <v>1.3984571917949201E-5</v>
      </c>
      <c r="D21" s="1">
        <v>2.8802083361801701E-7</v>
      </c>
      <c r="F21">
        <f t="shared" si="0"/>
        <v>1.3984571917949201E-8</v>
      </c>
      <c r="G21">
        <f t="shared" si="1"/>
        <v>872.09718446546594</v>
      </c>
      <c r="H21">
        <f t="shared" si="2"/>
        <v>8696.8730833017416</v>
      </c>
    </row>
    <row r="22" spans="1:8" x14ac:dyDescent="0.2">
      <c r="A22">
        <v>293.07679748535202</v>
      </c>
      <c r="B22">
        <v>13.4105930328369</v>
      </c>
      <c r="C22" s="1">
        <v>1.35443538102887E-5</v>
      </c>
      <c r="D22" s="1">
        <v>3.0052296061729399E-7</v>
      </c>
      <c r="F22">
        <f t="shared" si="0"/>
        <v>1.35443538102887E-8</v>
      </c>
      <c r="G22">
        <f t="shared" si="1"/>
        <v>1067.1810854848625</v>
      </c>
      <c r="H22">
        <f t="shared" si="2"/>
        <v>8423.1056034133708</v>
      </c>
    </row>
    <row r="23" spans="1:8" x14ac:dyDescent="0.2">
      <c r="A23">
        <v>293.07125854492199</v>
      </c>
      <c r="B23">
        <v>16.515821456909201</v>
      </c>
      <c r="C23" s="1">
        <v>1.41098549546169E-5</v>
      </c>
      <c r="D23" s="1">
        <v>3.6126458588710899E-7</v>
      </c>
      <c r="F23">
        <f t="shared" si="0"/>
        <v>1.41098549546169E-8</v>
      </c>
      <c r="G23">
        <f t="shared" si="1"/>
        <v>1314.2873120451441</v>
      </c>
      <c r="H23">
        <f t="shared" si="2"/>
        <v>8774.7854195378732</v>
      </c>
    </row>
    <row r="24" spans="1:8" x14ac:dyDescent="0.2">
      <c r="A24">
        <v>293.06610107421898</v>
      </c>
      <c r="B24">
        <v>20.483613967895501</v>
      </c>
      <c r="C24" s="1">
        <v>1.4695570897866899E-5</v>
      </c>
      <c r="D24" s="1">
        <v>2.8233611092427398E-7</v>
      </c>
      <c r="F24">
        <f t="shared" si="0"/>
        <v>1.46955708978669E-8</v>
      </c>
      <c r="G24">
        <f t="shared" si="1"/>
        <v>1630.0342076883805</v>
      </c>
      <c r="H24">
        <f t="shared" si="2"/>
        <v>9139.036628026679</v>
      </c>
    </row>
    <row r="25" spans="1:8" x14ac:dyDescent="0.2">
      <c r="A25">
        <v>293.06230163574202</v>
      </c>
      <c r="B25">
        <v>25.223173141479499</v>
      </c>
      <c r="C25" s="1">
        <v>1.5325191593410201E-5</v>
      </c>
      <c r="D25" s="1">
        <v>3.0167970196583002E-7</v>
      </c>
      <c r="F25">
        <f t="shared" si="0"/>
        <v>1.5325191593410201E-8</v>
      </c>
      <c r="G25">
        <f t="shared" si="1"/>
        <v>2007.1963429645964</v>
      </c>
      <c r="H25">
        <f t="shared" si="2"/>
        <v>9530.591786946643</v>
      </c>
    </row>
    <row r="26" spans="1:8" x14ac:dyDescent="0.2">
      <c r="A26">
        <v>293.05824279785202</v>
      </c>
      <c r="B26">
        <v>31.106765747070298</v>
      </c>
      <c r="C26" s="1">
        <v>1.6237138672350299E-5</v>
      </c>
      <c r="D26" s="1">
        <v>2.9776715183400202E-7</v>
      </c>
      <c r="F26">
        <f t="shared" si="0"/>
        <v>1.6237138672350298E-8</v>
      </c>
      <c r="G26">
        <f t="shared" si="1"/>
        <v>2475.3977661239464</v>
      </c>
      <c r="H26">
        <f t="shared" si="2"/>
        <v>10097.723054944216</v>
      </c>
    </row>
    <row r="27" spans="1:8" x14ac:dyDescent="0.2">
      <c r="A27">
        <v>293.05494689941401</v>
      </c>
      <c r="B27">
        <v>38.179784774780302</v>
      </c>
      <c r="C27" s="1">
        <v>1.6607990674992899E-5</v>
      </c>
      <c r="D27" s="1">
        <v>4.28800896390405E-7</v>
      </c>
      <c r="F27">
        <f t="shared" si="0"/>
        <v>1.6607990674992898E-8</v>
      </c>
      <c r="G27">
        <f t="shared" si="1"/>
        <v>3038.2507365454858</v>
      </c>
      <c r="H27">
        <f t="shared" si="2"/>
        <v>10328.352409821455</v>
      </c>
    </row>
    <row r="28" spans="1:8" x14ac:dyDescent="0.2">
      <c r="A28">
        <v>293.04998779296898</v>
      </c>
      <c r="B28">
        <v>47.223085403442397</v>
      </c>
      <c r="C28" s="1">
        <v>1.7780437241256699E-5</v>
      </c>
      <c r="D28" s="1">
        <v>2.7716354057550802E-7</v>
      </c>
      <c r="F28">
        <f t="shared" si="0"/>
        <v>1.77804372412567E-8</v>
      </c>
      <c r="G28">
        <f t="shared" si="1"/>
        <v>3757.8937350042943</v>
      </c>
      <c r="H28">
        <f t="shared" si="2"/>
        <v>11057.485846552674</v>
      </c>
    </row>
    <row r="29" spans="1:8" x14ac:dyDescent="0.2">
      <c r="A29">
        <v>293.04695129394503</v>
      </c>
      <c r="B29">
        <v>57.9915065765381</v>
      </c>
      <c r="C29" s="1">
        <v>1.9412392768431799E-5</v>
      </c>
      <c r="D29" s="1">
        <v>3.0218010180935699E-7</v>
      </c>
      <c r="F29">
        <f t="shared" si="0"/>
        <v>1.9412392768431798E-8</v>
      </c>
      <c r="G29">
        <f t="shared" si="1"/>
        <v>4614.8174645010977</v>
      </c>
      <c r="H29">
        <f t="shared" si="2"/>
        <v>12072.383562457586</v>
      </c>
    </row>
    <row r="30" spans="1:8" x14ac:dyDescent="0.2">
      <c r="A30">
        <v>293.04365539550798</v>
      </c>
      <c r="B30">
        <v>71.583694458007798</v>
      </c>
      <c r="C30" s="1">
        <v>2.08044250529442E-5</v>
      </c>
      <c r="D30" s="1">
        <v>3.6724145854895299E-7</v>
      </c>
      <c r="F30">
        <f t="shared" si="0"/>
        <v>2.08044250529442E-8</v>
      </c>
      <c r="G30">
        <f t="shared" si="1"/>
        <v>5696.4494088859274</v>
      </c>
      <c r="H30">
        <f t="shared" si="2"/>
        <v>12938.075281681717</v>
      </c>
    </row>
    <row r="31" spans="1:8" x14ac:dyDescent="0.2">
      <c r="A31">
        <v>293.04124450683599</v>
      </c>
      <c r="B31">
        <v>88.181228637695298</v>
      </c>
      <c r="C31" s="1">
        <v>2.2682386452117801E-5</v>
      </c>
      <c r="D31" s="1">
        <v>3.2482178855712797E-7</v>
      </c>
      <c r="F31">
        <f t="shared" si="0"/>
        <v>2.26823864521178E-8</v>
      </c>
      <c r="G31">
        <f t="shared" si="1"/>
        <v>7017.2392128029032</v>
      </c>
      <c r="H31">
        <f t="shared" si="2"/>
        <v>14105.961723953855</v>
      </c>
    </row>
    <row r="32" spans="1:8" x14ac:dyDescent="0.2">
      <c r="A32">
        <v>293.03791809082003</v>
      </c>
      <c r="B32">
        <v>108.592205047607</v>
      </c>
      <c r="C32" s="1">
        <v>2.60734801439451E-5</v>
      </c>
      <c r="D32" s="1">
        <v>3.0871776553375698E-7</v>
      </c>
      <c r="F32">
        <f t="shared" si="0"/>
        <v>2.6073480143945099E-8</v>
      </c>
      <c r="G32">
        <f t="shared" si="1"/>
        <v>8641.4931072876607</v>
      </c>
      <c r="H32">
        <f t="shared" si="2"/>
        <v>16214.850835786752</v>
      </c>
    </row>
    <row r="33" spans="1:8" x14ac:dyDescent="0.2">
      <c r="A33">
        <v>293.03480529785202</v>
      </c>
      <c r="B33">
        <v>133.751823425293</v>
      </c>
      <c r="C33" s="1">
        <v>2.9626489139942201E-5</v>
      </c>
      <c r="D33" s="1">
        <v>3.8859290939871501E-7</v>
      </c>
      <c r="F33">
        <f t="shared" si="0"/>
        <v>2.9626489139942201E-8</v>
      </c>
      <c r="G33">
        <f t="shared" si="1"/>
        <v>10643.63192284487</v>
      </c>
      <c r="H33">
        <f t="shared" si="2"/>
        <v>18424.433544740175</v>
      </c>
    </row>
    <row r="34" spans="1:8" x14ac:dyDescent="0.2">
      <c r="A34">
        <v>293.03234863281199</v>
      </c>
      <c r="B34">
        <v>164.46817016601599</v>
      </c>
      <c r="C34" s="1">
        <v>3.4968703499801702E-5</v>
      </c>
      <c r="D34" s="1">
        <v>2.8196547388925698E-7</v>
      </c>
      <c r="F34">
        <f t="shared" si="0"/>
        <v>3.4968703499801705E-8</v>
      </c>
      <c r="G34">
        <f t="shared" si="1"/>
        <v>13087.961131600217</v>
      </c>
      <c r="H34">
        <f t="shared" si="2"/>
        <v>21746.7061565931</v>
      </c>
    </row>
    <row r="35" spans="1:8" x14ac:dyDescent="0.2">
      <c r="A35">
        <v>293.02900695800798</v>
      </c>
      <c r="B35">
        <v>202.62979125976599</v>
      </c>
      <c r="C35" s="1">
        <v>3.993647534953E-5</v>
      </c>
      <c r="D35" s="1">
        <v>3.5513409677859699E-7</v>
      </c>
      <c r="F35">
        <f t="shared" si="0"/>
        <v>3.9936475349530002E-8</v>
      </c>
      <c r="G35">
        <f t="shared" si="1"/>
        <v>16124.766448335346</v>
      </c>
      <c r="H35">
        <f t="shared" si="2"/>
        <v>24836.116510901742</v>
      </c>
    </row>
    <row r="36" spans="1:8" x14ac:dyDescent="0.2">
      <c r="A36">
        <v>293.02526855468699</v>
      </c>
      <c r="B36">
        <v>249.19006347656199</v>
      </c>
      <c r="C36" s="1">
        <v>4.8063858928283598E-5</v>
      </c>
      <c r="D36" s="1">
        <v>3.4428809539945898E-7</v>
      </c>
      <c r="F36">
        <f t="shared" si="0"/>
        <v>4.8063858928283597E-8</v>
      </c>
      <c r="G36">
        <f t="shared" si="1"/>
        <v>19829.915185839003</v>
      </c>
      <c r="H36">
        <f t="shared" si="2"/>
        <v>29890.459532514673</v>
      </c>
    </row>
    <row r="37" spans="1:8" x14ac:dyDescent="0.2">
      <c r="A37">
        <v>293.02400207519503</v>
      </c>
      <c r="B37">
        <v>306.83654785156199</v>
      </c>
      <c r="C37" s="1">
        <v>5.82119584940417E-5</v>
      </c>
      <c r="D37" s="1">
        <v>2.1223597303798999E-7</v>
      </c>
      <c r="F37">
        <f t="shared" si="0"/>
        <v>5.8211958494041699E-8</v>
      </c>
      <c r="G37">
        <f t="shared" si="1"/>
        <v>24417.276655914484</v>
      </c>
      <c r="H37">
        <f t="shared" si="2"/>
        <v>36201.466725150312</v>
      </c>
    </row>
    <row r="38" spans="1:8" x14ac:dyDescent="0.2">
      <c r="A38">
        <v>293.02131652832003</v>
      </c>
      <c r="B38">
        <v>377.96624755859398</v>
      </c>
      <c r="C38" s="1">
        <v>7.0781021681842898E-5</v>
      </c>
      <c r="D38" s="1">
        <v>3.8646706349123499E-7</v>
      </c>
      <c r="F38">
        <f t="shared" si="0"/>
        <v>7.0781021681842901E-8</v>
      </c>
      <c r="G38">
        <f t="shared" si="1"/>
        <v>30077.598310422625</v>
      </c>
      <c r="H38">
        <f t="shared" si="2"/>
        <v>44018.048309603793</v>
      </c>
    </row>
    <row r="39" spans="1:8" x14ac:dyDescent="0.2">
      <c r="A39">
        <v>293.01802062988298</v>
      </c>
      <c r="B39">
        <v>465.69351196289102</v>
      </c>
      <c r="C39" s="1">
        <v>8.7399967267406695E-5</v>
      </c>
      <c r="D39" s="1">
        <v>2.8949453596888602E-7</v>
      </c>
      <c r="F39">
        <f t="shared" si="0"/>
        <v>8.7399967267406701E-8</v>
      </c>
      <c r="G39">
        <f t="shared" si="1"/>
        <v>37058.712197359404</v>
      </c>
      <c r="H39">
        <f t="shared" si="2"/>
        <v>54353.213474755408</v>
      </c>
    </row>
    <row r="40" spans="1:8" x14ac:dyDescent="0.2">
      <c r="A40">
        <v>293.01524353027298</v>
      </c>
      <c r="B40">
        <v>573.48672485351597</v>
      </c>
      <c r="C40">
        <v>1.06753128624973E-4</v>
      </c>
      <c r="D40" s="1">
        <v>3.6354513881892002E-7</v>
      </c>
      <c r="F40">
        <f t="shared" si="0"/>
        <v>1.0675312862497301E-7</v>
      </c>
      <c r="G40">
        <f t="shared" si="1"/>
        <v>45636.62352900939</v>
      </c>
      <c r="H40">
        <f t="shared" si="2"/>
        <v>66388.761582694657</v>
      </c>
    </row>
    <row r="41" spans="1:8" x14ac:dyDescent="0.2">
      <c r="A41">
        <v>293.01296997070301</v>
      </c>
      <c r="B41">
        <v>705.97650146484398</v>
      </c>
      <c r="C41">
        <v>1.2981304461141301E-4</v>
      </c>
      <c r="D41" s="1">
        <v>3.1896673305830499E-7</v>
      </c>
      <c r="F41">
        <f t="shared" si="0"/>
        <v>1.29813044611413E-7</v>
      </c>
      <c r="G41">
        <f t="shared" si="1"/>
        <v>56179.824957426303</v>
      </c>
      <c r="H41">
        <f t="shared" si="2"/>
        <v>80729.505355356348</v>
      </c>
    </row>
    <row r="42" spans="1:8" x14ac:dyDescent="0.2">
      <c r="A42">
        <v>293.01025390625</v>
      </c>
      <c r="B42">
        <v>870.01791381835903</v>
      </c>
      <c r="C42">
        <v>1.5420155206552E-4</v>
      </c>
      <c r="D42" s="1">
        <v>2.7399284922528201E-7</v>
      </c>
      <c r="F42">
        <f t="shared" si="0"/>
        <v>1.5420155206551999E-7</v>
      </c>
      <c r="G42">
        <f t="shared" si="1"/>
        <v>69233.825781345222</v>
      </c>
      <c r="H42">
        <f t="shared" si="2"/>
        <v>95896.487602935318</v>
      </c>
    </row>
    <row r="43" spans="1:8" x14ac:dyDescent="0.2">
      <c r="A43">
        <v>293.00848388671898</v>
      </c>
      <c r="B43">
        <v>1071.1858520507801</v>
      </c>
      <c r="C43">
        <v>1.7921750285406201E-4</v>
      </c>
      <c r="D43" s="1">
        <v>3.3797598022213703E-7</v>
      </c>
      <c r="F43">
        <f t="shared" si="0"/>
        <v>1.79217502854062E-7</v>
      </c>
      <c r="G43">
        <f t="shared" si="1"/>
        <v>85242.26166199267</v>
      </c>
      <c r="H43">
        <f t="shared" si="2"/>
        <v>111453.67092914303</v>
      </c>
    </row>
    <row r="44" spans="1:8" x14ac:dyDescent="0.2">
      <c r="A44">
        <v>293.00665283203102</v>
      </c>
      <c r="B44">
        <v>1319.1047973632801</v>
      </c>
      <c r="C44">
        <v>2.05838031546192E-4</v>
      </c>
      <c r="D44" s="1">
        <v>3.1872381639807098E-7</v>
      </c>
      <c r="F44">
        <f t="shared" si="0"/>
        <v>2.0583803154619199E-7</v>
      </c>
      <c r="G44">
        <f t="shared" si="1"/>
        <v>104971.02447829949</v>
      </c>
      <c r="H44">
        <f t="shared" si="2"/>
        <v>128008.72608594029</v>
      </c>
    </row>
    <row r="45" spans="1:8" x14ac:dyDescent="0.2">
      <c r="A45">
        <v>293.00447082519503</v>
      </c>
      <c r="B45">
        <v>1624.5067749023401</v>
      </c>
      <c r="C45">
        <v>2.3059491220013201E-4</v>
      </c>
      <c r="D45" s="1">
        <v>3.1155078293992502E-7</v>
      </c>
      <c r="F45">
        <f t="shared" si="0"/>
        <v>2.30594912200132E-7</v>
      </c>
      <c r="G45">
        <f t="shared" si="1"/>
        <v>129274.14165599018</v>
      </c>
      <c r="H45">
        <f t="shared" si="2"/>
        <v>143404.79614436071</v>
      </c>
    </row>
    <row r="46" spans="1:8" x14ac:dyDescent="0.2">
      <c r="A46">
        <v>293.00062561035202</v>
      </c>
      <c r="B46">
        <v>2001.82836914062</v>
      </c>
      <c r="C46">
        <v>2.5494029390516599E-4</v>
      </c>
      <c r="D46" s="1">
        <v>3.6710631976058201E-7</v>
      </c>
      <c r="F46">
        <f t="shared" si="0"/>
        <v>2.5494029390516597E-7</v>
      </c>
      <c r="G46">
        <f t="shared" si="1"/>
        <v>159300.44008515854</v>
      </c>
      <c r="H46">
        <f t="shared" si="2"/>
        <v>158544.9588962475</v>
      </c>
    </row>
    <row r="47" spans="1:8" x14ac:dyDescent="0.2">
      <c r="A47">
        <v>292.99851989746099</v>
      </c>
      <c r="B47">
        <v>2464.3623046875</v>
      </c>
      <c r="C47">
        <v>2.7749065238533702E-4</v>
      </c>
      <c r="D47" s="1">
        <v>3.1716828095666599E-7</v>
      </c>
      <c r="F47">
        <f t="shared" si="0"/>
        <v>2.7749065238533701E-7</v>
      </c>
      <c r="G47">
        <f t="shared" si="1"/>
        <v>196107.72118017555</v>
      </c>
      <c r="H47">
        <f t="shared" si="2"/>
        <v>172568.81367247328</v>
      </c>
    </row>
    <row r="48" spans="1:8" x14ac:dyDescent="0.2">
      <c r="A48">
        <v>292.99858093261702</v>
      </c>
      <c r="B48">
        <v>3035.125</v>
      </c>
      <c r="C48">
        <v>2.985043600567E-4</v>
      </c>
      <c r="D48" s="1">
        <v>3.03037925297033E-7</v>
      </c>
      <c r="F48">
        <f t="shared" si="0"/>
        <v>2.9850436005669998E-7</v>
      </c>
      <c r="G48">
        <f t="shared" si="1"/>
        <v>241527.57332589442</v>
      </c>
      <c r="H48">
        <f t="shared" si="2"/>
        <v>185637.03983625621</v>
      </c>
    </row>
    <row r="49" spans="1:8" x14ac:dyDescent="0.2">
      <c r="A49">
        <v>292.99595642089798</v>
      </c>
      <c r="B49">
        <v>3737.9326171875</v>
      </c>
      <c r="C49">
        <v>3.1805301771227902E-4</v>
      </c>
      <c r="D49" s="1">
        <v>3.3954728365485402E-7</v>
      </c>
      <c r="F49">
        <f t="shared" si="0"/>
        <v>3.1805301771227901E-7</v>
      </c>
      <c r="G49">
        <f t="shared" si="1"/>
        <v>297455.22648490797</v>
      </c>
      <c r="H49">
        <f t="shared" si="2"/>
        <v>197794.1652439546</v>
      </c>
    </row>
    <row r="50" spans="1:8" x14ac:dyDescent="0.2">
      <c r="A50">
        <v>292.99310302734398</v>
      </c>
      <c r="B50">
        <v>4603.16552734375</v>
      </c>
      <c r="C50">
        <v>3.3441632997919998E-4</v>
      </c>
      <c r="D50" s="1">
        <v>2.7970826957847901E-7</v>
      </c>
      <c r="F50">
        <f t="shared" si="0"/>
        <v>3.3441632997919997E-7</v>
      </c>
      <c r="G50">
        <f t="shared" si="1"/>
        <v>366308.27377348446</v>
      </c>
      <c r="H50">
        <f t="shared" si="2"/>
        <v>207970.35446467661</v>
      </c>
    </row>
    <row r="51" spans="1:8" x14ac:dyDescent="0.2">
      <c r="A51">
        <v>292.99201965332003</v>
      </c>
      <c r="B51">
        <v>5669.95703125</v>
      </c>
      <c r="C51">
        <v>3.4791698061268701E-4</v>
      </c>
      <c r="D51" s="1">
        <v>3.2309457568243299E-7</v>
      </c>
      <c r="F51">
        <f t="shared" si="0"/>
        <v>3.47916980612687E-7</v>
      </c>
      <c r="G51">
        <f t="shared" si="1"/>
        <v>451200.84432104282</v>
      </c>
      <c r="H51">
        <f t="shared" si="2"/>
        <v>216366.2814755516</v>
      </c>
    </row>
    <row r="52" spans="1:8" x14ac:dyDescent="0.2">
      <c r="A52">
        <v>292.98945617675798</v>
      </c>
      <c r="B52">
        <v>6981.93408203125</v>
      </c>
      <c r="C52">
        <v>3.57150853511807E-4</v>
      </c>
      <c r="D52" s="1">
        <v>3.5714195684757402E-7</v>
      </c>
      <c r="F52">
        <f t="shared" si="0"/>
        <v>3.5715085351180702E-7</v>
      </c>
      <c r="G52">
        <f t="shared" si="1"/>
        <v>555604.66074852413</v>
      </c>
      <c r="H52">
        <f t="shared" si="2"/>
        <v>222108.73974614864</v>
      </c>
    </row>
    <row r="53" spans="1:8" x14ac:dyDescent="0.2">
      <c r="A53">
        <v>292.98902893066401</v>
      </c>
      <c r="B53">
        <v>8599.09521484375</v>
      </c>
      <c r="C53">
        <v>3.6175409434112502E-4</v>
      </c>
      <c r="D53" s="1">
        <v>3.4407715469492102E-7</v>
      </c>
      <c r="F53">
        <f t="shared" si="0"/>
        <v>3.6175409434112504E-7</v>
      </c>
      <c r="G53">
        <f t="shared" si="1"/>
        <v>684294.25478012324</v>
      </c>
      <c r="H53">
        <f t="shared" si="2"/>
        <v>224971.45170467976</v>
      </c>
    </row>
    <row r="54" spans="1:8" x14ac:dyDescent="0.2">
      <c r="A54">
        <v>292.98666381835898</v>
      </c>
      <c r="B54">
        <v>10590.0830078125</v>
      </c>
      <c r="C54">
        <v>3.6346269640252701E-4</v>
      </c>
      <c r="D54" s="1">
        <v>3.8368163551651302E-7</v>
      </c>
      <c r="F54">
        <f t="shared" si="0"/>
        <v>3.6346269640252698E-7</v>
      </c>
      <c r="G54">
        <f t="shared" si="1"/>
        <v>842732.0292234231</v>
      </c>
      <c r="H54">
        <f t="shared" si="2"/>
        <v>226034.01517570086</v>
      </c>
    </row>
    <row r="55" spans="1:8" x14ac:dyDescent="0.2">
      <c r="A55">
        <v>292.98492431640602</v>
      </c>
      <c r="B55">
        <v>13041.425292968799</v>
      </c>
      <c r="C55">
        <v>3.586395365149E-4</v>
      </c>
      <c r="D55" s="1">
        <v>4.2857026915384898E-7</v>
      </c>
      <c r="F55">
        <f t="shared" si="0"/>
        <v>3.586395365149E-7</v>
      </c>
      <c r="G55">
        <f t="shared" si="1"/>
        <v>1037803.6501698268</v>
      </c>
      <c r="H55">
        <f t="shared" si="2"/>
        <v>223034.53763364427</v>
      </c>
    </row>
    <row r="56" spans="1:8" x14ac:dyDescent="0.2">
      <c r="A56">
        <v>292.98260498046898</v>
      </c>
      <c r="B56">
        <v>16061.060058593799</v>
      </c>
      <c r="C56">
        <v>3.4686681213180298E-4</v>
      </c>
      <c r="D56" s="1">
        <v>4.8221291973730902E-7</v>
      </c>
      <c r="F56">
        <f t="shared" si="0"/>
        <v>3.46866812131803E-7</v>
      </c>
      <c r="G56">
        <f t="shared" si="1"/>
        <v>1278098.5498105045</v>
      </c>
      <c r="H56">
        <f t="shared" si="2"/>
        <v>215713.19162425559</v>
      </c>
    </row>
    <row r="57" spans="1:8" x14ac:dyDescent="0.2">
      <c r="A57">
        <v>292.98274230957003</v>
      </c>
      <c r="B57">
        <v>19779.5087890625</v>
      </c>
      <c r="C57">
        <v>3.2808170867628598E-4</v>
      </c>
      <c r="D57" s="1">
        <v>4.9704273447839296E-7</v>
      </c>
      <c r="F57">
        <f t="shared" si="0"/>
        <v>3.2808170867628599E-7</v>
      </c>
      <c r="G57">
        <f t="shared" si="1"/>
        <v>1574003.2978544431</v>
      </c>
      <c r="H57">
        <f t="shared" si="2"/>
        <v>204030.91335589925</v>
      </c>
    </row>
    <row r="58" spans="1:8" x14ac:dyDescent="0.2">
      <c r="A58">
        <v>292.98231506347702</v>
      </c>
      <c r="B58">
        <v>24359.17578125</v>
      </c>
      <c r="C58">
        <v>2.9995422112871599E-4</v>
      </c>
      <c r="D58" s="1">
        <v>5.9511182385502696E-7</v>
      </c>
      <c r="F58">
        <f t="shared" si="0"/>
        <v>2.9995422112871597E-7</v>
      </c>
      <c r="G58">
        <f t="shared" si="1"/>
        <v>1938441.6176151596</v>
      </c>
      <c r="H58">
        <f t="shared" si="2"/>
        <v>186538.69473178854</v>
      </c>
    </row>
    <row r="59" spans="1:8" x14ac:dyDescent="0.2">
      <c r="A59">
        <v>292.98017883300798</v>
      </c>
      <c r="B59">
        <v>29999.4599609375</v>
      </c>
      <c r="C59">
        <v>2.5933124561925E-4</v>
      </c>
      <c r="D59" s="1">
        <v>8.1248285546575495E-7</v>
      </c>
      <c r="F59">
        <f t="shared" si="0"/>
        <v>2.5933124561925001E-7</v>
      </c>
      <c r="G59">
        <f t="shared" si="1"/>
        <v>2387281.1714353003</v>
      </c>
      <c r="H59">
        <f t="shared" si="2"/>
        <v>161275.65026072762</v>
      </c>
    </row>
    <row r="60" spans="1:8" x14ac:dyDescent="0.2">
      <c r="A60">
        <v>292.98004150390602</v>
      </c>
      <c r="B60">
        <v>24359.5849609375</v>
      </c>
      <c r="C60">
        <v>3.0051334965060998E-4</v>
      </c>
      <c r="D60" s="1">
        <v>6.5549764886249496E-7</v>
      </c>
      <c r="F60">
        <f t="shared" si="0"/>
        <v>3.0051334965060998E-7</v>
      </c>
      <c r="G60">
        <f t="shared" si="1"/>
        <v>1938474.1791000988</v>
      </c>
      <c r="H60">
        <f t="shared" si="2"/>
        <v>186886.41147425995</v>
      </c>
    </row>
    <row r="61" spans="1:8" x14ac:dyDescent="0.2">
      <c r="A61">
        <v>292.97990417480497</v>
      </c>
      <c r="B61">
        <v>19779.943359375</v>
      </c>
      <c r="C61">
        <v>3.2891927665638498E-4</v>
      </c>
      <c r="D61" s="1">
        <v>5.3195504438964895E-7</v>
      </c>
      <c r="F61">
        <f t="shared" si="0"/>
        <v>3.2891927665638497E-7</v>
      </c>
      <c r="G61">
        <f t="shared" si="1"/>
        <v>1574037.8798611206</v>
      </c>
      <c r="H61">
        <f t="shared" si="2"/>
        <v>204551.78896541355</v>
      </c>
    </row>
    <row r="62" spans="1:8" x14ac:dyDescent="0.2">
      <c r="A62">
        <v>292.97872924804699</v>
      </c>
      <c r="B62">
        <v>16061.550292968701</v>
      </c>
      <c r="C62">
        <v>3.4830678144005703E-4</v>
      </c>
      <c r="D62" s="1">
        <v>5.7881617112559304E-7</v>
      </c>
      <c r="F62">
        <f t="shared" si="0"/>
        <v>3.4830678144005701E-7</v>
      </c>
      <c r="G62">
        <f t="shared" si="1"/>
        <v>1278137.5614225243</v>
      </c>
      <c r="H62">
        <f t="shared" si="2"/>
        <v>216608.69492540858</v>
      </c>
    </row>
    <row r="63" spans="1:8" x14ac:dyDescent="0.2">
      <c r="A63">
        <v>292.97702026367199</v>
      </c>
      <c r="B63">
        <v>13041.669921875</v>
      </c>
      <c r="C63">
        <v>3.59603826016296E-4</v>
      </c>
      <c r="D63" s="1">
        <v>5.6240939843396802E-7</v>
      </c>
      <c r="F63">
        <f t="shared" si="0"/>
        <v>3.5960382601629599E-7</v>
      </c>
      <c r="G63">
        <f t="shared" si="1"/>
        <v>1037823.1171196494</v>
      </c>
      <c r="H63">
        <f t="shared" si="2"/>
        <v>223634.22015938806</v>
      </c>
    </row>
    <row r="64" spans="1:8" x14ac:dyDescent="0.2">
      <c r="A64">
        <v>292.97747802734398</v>
      </c>
      <c r="B64">
        <v>10590.437011718701</v>
      </c>
      <c r="C64">
        <v>3.6556273082572898E-4</v>
      </c>
      <c r="D64" s="1">
        <v>4.07719932089435E-7</v>
      </c>
      <c r="F64">
        <f t="shared" si="0"/>
        <v>3.6556273082572896E-7</v>
      </c>
      <c r="G64">
        <f t="shared" si="1"/>
        <v>842760.19995919603</v>
      </c>
      <c r="H64">
        <f t="shared" si="2"/>
        <v>227340.00673241849</v>
      </c>
    </row>
    <row r="65" spans="1:8" x14ac:dyDescent="0.2">
      <c r="A65">
        <v>292.97787475585898</v>
      </c>
      <c r="B65">
        <v>8599.38623046875</v>
      </c>
      <c r="C65">
        <v>3.6546236279550202E-4</v>
      </c>
      <c r="D65" s="1">
        <v>4.2020152179484098E-7</v>
      </c>
      <c r="F65">
        <f t="shared" si="0"/>
        <v>3.6546236279550204E-7</v>
      </c>
      <c r="G65">
        <f t="shared" si="1"/>
        <v>684317.4130677412</v>
      </c>
      <c r="H65">
        <f t="shared" si="2"/>
        <v>227277.5888031729</v>
      </c>
    </row>
    <row r="66" spans="1:8" x14ac:dyDescent="0.2">
      <c r="A66">
        <v>292.97799682617199</v>
      </c>
      <c r="B66">
        <v>6982.5244140625</v>
      </c>
      <c r="C66">
        <v>3.6139817676156602E-4</v>
      </c>
      <c r="D66" s="1">
        <v>4.0847284675084701E-7</v>
      </c>
      <c r="F66">
        <f t="shared" si="0"/>
        <v>3.6139817676156605E-7</v>
      </c>
      <c r="G66">
        <f t="shared" si="1"/>
        <v>555651.63787894358</v>
      </c>
      <c r="H66">
        <f t="shared" si="2"/>
        <v>224750.10992634704</v>
      </c>
    </row>
    <row r="67" spans="1:8" x14ac:dyDescent="0.2">
      <c r="A67">
        <v>292.97677612304699</v>
      </c>
      <c r="B67">
        <v>5669.7297363281205</v>
      </c>
      <c r="C67">
        <v>3.5395930886006398E-4</v>
      </c>
      <c r="D67" s="1">
        <v>3.8405618453876398E-7</v>
      </c>
      <c r="F67">
        <f t="shared" si="0"/>
        <v>3.5395930886006397E-7</v>
      </c>
      <c r="G67">
        <f t="shared" si="1"/>
        <v>451182.75676586438</v>
      </c>
      <c r="H67">
        <f t="shared" si="2"/>
        <v>220123.94829605968</v>
      </c>
    </row>
    <row r="68" spans="1:8" x14ac:dyDescent="0.2">
      <c r="A68">
        <v>292.97576904296898</v>
      </c>
      <c r="B68">
        <v>4603.43798828125</v>
      </c>
      <c r="C68">
        <v>3.4260711991686602E-4</v>
      </c>
      <c r="D68" s="1">
        <v>3.5781562713159899E-7</v>
      </c>
      <c r="F68">
        <f t="shared" si="0"/>
        <v>3.4260711991686605E-7</v>
      </c>
      <c r="G68">
        <f t="shared" si="1"/>
        <v>366329.95552598574</v>
      </c>
      <c r="H68">
        <f t="shared" si="2"/>
        <v>213064.1293015336</v>
      </c>
    </row>
    <row r="69" spans="1:8" x14ac:dyDescent="0.2">
      <c r="A69">
        <v>292.97743225097702</v>
      </c>
      <c r="B69">
        <v>3738.4957275390602</v>
      </c>
      <c r="C69">
        <v>3.26627087028054E-4</v>
      </c>
      <c r="D69" s="1">
        <v>3.6446731492354499E-7</v>
      </c>
      <c r="F69">
        <f t="shared" si="0"/>
        <v>3.2662708702805397E-7</v>
      </c>
      <c r="G69">
        <f t="shared" si="1"/>
        <v>297500.03738288651</v>
      </c>
      <c r="H69">
        <f t="shared" si="2"/>
        <v>203126.29790301863</v>
      </c>
    </row>
    <row r="70" spans="1:8" x14ac:dyDescent="0.2">
      <c r="A70">
        <v>292.978759765625</v>
      </c>
      <c r="B70">
        <v>3035.19750976562</v>
      </c>
      <c r="C70">
        <v>3.1064047322065298E-4</v>
      </c>
      <c r="D70" s="1">
        <v>3.7763167787228E-7</v>
      </c>
      <c r="F70">
        <f t="shared" si="0"/>
        <v>3.1064047322065299E-7</v>
      </c>
      <c r="G70">
        <f t="shared" si="1"/>
        <v>241533.34346970485</v>
      </c>
      <c r="H70">
        <f t="shared" si="2"/>
        <v>193184.3738934409</v>
      </c>
    </row>
    <row r="71" spans="1:8" x14ac:dyDescent="0.2">
      <c r="A71">
        <v>292.97663879394503</v>
      </c>
      <c r="B71">
        <v>2464.5618896484398</v>
      </c>
      <c r="C71">
        <v>2.9180734556108999E-4</v>
      </c>
      <c r="D71" s="1">
        <v>3.4166101277354E-7</v>
      </c>
      <c r="F71">
        <f t="shared" si="0"/>
        <v>2.9180734556109E-7</v>
      </c>
      <c r="G71">
        <f t="shared" si="1"/>
        <v>196123.60364672574</v>
      </c>
      <c r="H71">
        <f t="shared" si="2"/>
        <v>181472.22982654852</v>
      </c>
    </row>
    <row r="72" spans="1:8" x14ac:dyDescent="0.2">
      <c r="A72">
        <v>292.97685241699202</v>
      </c>
      <c r="B72">
        <v>2001.09289550781</v>
      </c>
      <c r="C72">
        <v>2.7343223831094102E-4</v>
      </c>
      <c r="D72" s="1">
        <v>3.5972825247574502E-7</v>
      </c>
      <c r="F72">
        <f t="shared" si="0"/>
        <v>2.7343223831094103E-7</v>
      </c>
      <c r="G72">
        <f t="shared" si="1"/>
        <v>159241.91295307077</v>
      </c>
      <c r="H72">
        <f t="shared" si="2"/>
        <v>170044.92432272452</v>
      </c>
    </row>
    <row r="73" spans="1:8" x14ac:dyDescent="0.2">
      <c r="A73">
        <v>292.97593688964798</v>
      </c>
      <c r="B73">
        <v>1624.5067749023401</v>
      </c>
      <c r="C73">
        <v>2.5339007295882999E-4</v>
      </c>
      <c r="D73" s="1">
        <v>3.3624489595547198E-7</v>
      </c>
      <c r="F73">
        <f t="shared" ref="F73:F136" si="3">C73/1000</f>
        <v>2.5339007295882998E-7</v>
      </c>
      <c r="G73">
        <f t="shared" ref="G73:G136" si="4">(B73*1000)/(4*PI())</f>
        <v>129274.14165599018</v>
      </c>
      <c r="H73">
        <f t="shared" ref="H73:H136" si="5">F73/$G$4</f>
        <v>157580.89114355098</v>
      </c>
    </row>
    <row r="74" spans="1:8" x14ac:dyDescent="0.2">
      <c r="A74">
        <v>292.97793579101602</v>
      </c>
      <c r="B74">
        <v>1319.2772827148401</v>
      </c>
      <c r="C74">
        <v>2.3496629190701801E-4</v>
      </c>
      <c r="D74" s="1">
        <v>4.3199109766262498E-7</v>
      </c>
      <c r="F74">
        <f t="shared" si="3"/>
        <v>2.3496629190701801E-7</v>
      </c>
      <c r="G74">
        <f t="shared" si="4"/>
        <v>104984.75042645534</v>
      </c>
      <c r="H74">
        <f t="shared" si="5"/>
        <v>146123.31586257339</v>
      </c>
    </row>
    <row r="75" spans="1:8" x14ac:dyDescent="0.2">
      <c r="A75">
        <v>292.97937011718801</v>
      </c>
      <c r="B75">
        <v>1071.46728515625</v>
      </c>
      <c r="C75">
        <v>2.1620900496207199E-4</v>
      </c>
      <c r="D75" s="1">
        <v>3.57926982668755E-7</v>
      </c>
      <c r="F75">
        <f t="shared" si="3"/>
        <v>2.16209004962072E-7</v>
      </c>
      <c r="G75">
        <f t="shared" si="4"/>
        <v>85264.65739693529</v>
      </c>
      <c r="H75">
        <f t="shared" si="5"/>
        <v>134458.33641919901</v>
      </c>
    </row>
    <row r="76" spans="1:8" x14ac:dyDescent="0.2">
      <c r="A76">
        <v>292.97700500488298</v>
      </c>
      <c r="B76">
        <v>870.08148193359398</v>
      </c>
      <c r="C76">
        <v>1.9878344368747601E-4</v>
      </c>
      <c r="D76" s="1">
        <v>3.3434004827017898E-7</v>
      </c>
      <c r="F76">
        <f t="shared" si="3"/>
        <v>1.9878344368747601E-7</v>
      </c>
      <c r="G76">
        <f t="shared" si="4"/>
        <v>69238.884371226552</v>
      </c>
      <c r="H76">
        <f t="shared" si="5"/>
        <v>123621.54458176368</v>
      </c>
    </row>
    <row r="77" spans="1:8" x14ac:dyDescent="0.2">
      <c r="A77">
        <v>292.97752380371099</v>
      </c>
      <c r="B77">
        <v>706.57574462890602</v>
      </c>
      <c r="C77">
        <v>1.82803368834684E-4</v>
      </c>
      <c r="D77" s="1">
        <v>3.6487753264360403E-7</v>
      </c>
      <c r="F77">
        <f t="shared" si="3"/>
        <v>1.8280336883468401E-7</v>
      </c>
      <c r="G77">
        <f t="shared" si="4"/>
        <v>56227.511213263555</v>
      </c>
      <c r="H77">
        <f t="shared" si="5"/>
        <v>113683.68708624628</v>
      </c>
    </row>
    <row r="78" spans="1:8" x14ac:dyDescent="0.2">
      <c r="A78">
        <v>292.97602844238298</v>
      </c>
      <c r="B78">
        <v>573.59564208984398</v>
      </c>
      <c r="C78">
        <v>1.69234870261254E-4</v>
      </c>
      <c r="D78" s="1">
        <v>3.0016210201220501E-7</v>
      </c>
      <c r="F78">
        <f t="shared" si="3"/>
        <v>1.69234870261254E-7</v>
      </c>
      <c r="G78">
        <f t="shared" si="4"/>
        <v>45645.290887284144</v>
      </c>
      <c r="H78">
        <f t="shared" si="5"/>
        <v>105245.56608286939</v>
      </c>
    </row>
    <row r="79" spans="1:8" x14ac:dyDescent="0.2">
      <c r="A79">
        <v>292.97650146484398</v>
      </c>
      <c r="B79">
        <v>465.92958068847702</v>
      </c>
      <c r="C79">
        <v>1.5566924263796901E-4</v>
      </c>
      <c r="D79" s="1">
        <v>4.0262117461970499E-7</v>
      </c>
      <c r="F79">
        <f t="shared" si="3"/>
        <v>1.5566924263796901E-7</v>
      </c>
      <c r="G79">
        <f t="shared" si="4"/>
        <v>37077.497949652607</v>
      </c>
      <c r="H79">
        <f t="shared" si="5"/>
        <v>96809.23049624938</v>
      </c>
    </row>
    <row r="80" spans="1:8" x14ac:dyDescent="0.2">
      <c r="A80">
        <v>292.97714233398398</v>
      </c>
      <c r="B80">
        <v>377.83006286621099</v>
      </c>
      <c r="C80">
        <v>1.4340068822657801E-4</v>
      </c>
      <c r="D80" s="1">
        <v>3.4601046946910301E-7</v>
      </c>
      <c r="F80">
        <f t="shared" si="3"/>
        <v>1.4340068822657801E-7</v>
      </c>
      <c r="G80">
        <f t="shared" si="4"/>
        <v>30066.761076939525</v>
      </c>
      <c r="H80">
        <f t="shared" si="5"/>
        <v>89179.532479215181</v>
      </c>
    </row>
    <row r="81" spans="1:8" x14ac:dyDescent="0.2">
      <c r="A81">
        <v>292.9775390625</v>
      </c>
      <c r="B81">
        <v>307.08171081542997</v>
      </c>
      <c r="C81">
        <v>1.3370822693634901E-4</v>
      </c>
      <c r="D81" s="1">
        <v>2.9640258725121498E-7</v>
      </c>
      <c r="F81">
        <f t="shared" si="3"/>
        <v>1.3370822693634902E-7</v>
      </c>
      <c r="G81">
        <f t="shared" si="4"/>
        <v>24436.78610469581</v>
      </c>
      <c r="H81">
        <f t="shared" si="5"/>
        <v>83151.882423102623</v>
      </c>
    </row>
    <row r="82" spans="1:8" x14ac:dyDescent="0.2">
      <c r="A82">
        <v>292.976806640625</v>
      </c>
      <c r="B82">
        <v>249.09019470214801</v>
      </c>
      <c r="C82">
        <v>1.2471465193678101E-4</v>
      </c>
      <c r="D82" s="1">
        <v>3.0337238739131898E-7</v>
      </c>
      <c r="F82">
        <f t="shared" si="3"/>
        <v>1.24714651936781E-7</v>
      </c>
      <c r="G82">
        <f t="shared" si="4"/>
        <v>19821.967881284749</v>
      </c>
      <c r="H82">
        <f t="shared" si="5"/>
        <v>77558.863144764313</v>
      </c>
    </row>
    <row r="83" spans="1:8" x14ac:dyDescent="0.2">
      <c r="A83">
        <v>292.97741699218801</v>
      </c>
      <c r="B83">
        <v>202.430046081543</v>
      </c>
      <c r="C83">
        <v>1.17451172922307E-4</v>
      </c>
      <c r="D83" s="1">
        <v>3.8621087057125998E-7</v>
      </c>
      <c r="F83">
        <f t="shared" si="3"/>
        <v>1.17451172922307E-7</v>
      </c>
      <c r="G83">
        <f t="shared" si="4"/>
        <v>16108.871232098863</v>
      </c>
      <c r="H83">
        <f t="shared" si="5"/>
        <v>73041.774205414797</v>
      </c>
    </row>
    <row r="84" spans="1:8" x14ac:dyDescent="0.2">
      <c r="A84">
        <v>292.97682189941401</v>
      </c>
      <c r="B84">
        <v>164.54080200195301</v>
      </c>
      <c r="C84">
        <v>1.10177695346005E-4</v>
      </c>
      <c r="D84" s="1">
        <v>3.2816939228583002E-7</v>
      </c>
      <c r="F84">
        <f t="shared" si="3"/>
        <v>1.1017769534600501E-7</v>
      </c>
      <c r="G84">
        <f t="shared" si="4"/>
        <v>13093.740989457825</v>
      </c>
      <c r="H84">
        <f t="shared" si="5"/>
        <v>68518.467254978241</v>
      </c>
    </row>
    <row r="85" spans="1:8" x14ac:dyDescent="0.2">
      <c r="A85">
        <v>292.97659301757801</v>
      </c>
      <c r="B85">
        <v>133.706428527832</v>
      </c>
      <c r="C85">
        <v>1.03910454803489E-4</v>
      </c>
      <c r="D85" s="1">
        <v>3.5367607715701798E-7</v>
      </c>
      <c r="F85">
        <f t="shared" si="3"/>
        <v>1.0391045480348901E-7</v>
      </c>
      <c r="G85">
        <f t="shared" si="4"/>
        <v>10640.019511683837</v>
      </c>
      <c r="H85">
        <f t="shared" si="5"/>
        <v>64620.929604159828</v>
      </c>
    </row>
    <row r="86" spans="1:8" x14ac:dyDescent="0.2">
      <c r="A86">
        <v>292.97802734375</v>
      </c>
      <c r="B86">
        <v>108.71023941040001</v>
      </c>
      <c r="C86" s="1">
        <v>9.9202073505430505E-5</v>
      </c>
      <c r="D86" s="1">
        <v>3.0105234072806498E-7</v>
      </c>
      <c r="F86">
        <f t="shared" si="3"/>
        <v>9.9202073505430506E-8</v>
      </c>
      <c r="G86">
        <f t="shared" si="4"/>
        <v>8650.8859834342657</v>
      </c>
      <c r="H86">
        <f t="shared" si="5"/>
        <v>61692.831781984147</v>
      </c>
    </row>
    <row r="87" spans="1:8" x14ac:dyDescent="0.2">
      <c r="A87">
        <v>292.97758483886702</v>
      </c>
      <c r="B87">
        <v>88.199394226074205</v>
      </c>
      <c r="C87" s="1">
        <v>9.4757617920384796E-5</v>
      </c>
      <c r="D87" s="1">
        <v>3.8145948337691299E-7</v>
      </c>
      <c r="F87">
        <f t="shared" si="3"/>
        <v>9.475761792038479E-8</v>
      </c>
      <c r="G87">
        <f t="shared" si="4"/>
        <v>7018.684784395241</v>
      </c>
      <c r="H87">
        <f t="shared" si="5"/>
        <v>58928.866865910939</v>
      </c>
    </row>
    <row r="88" spans="1:8" x14ac:dyDescent="0.2">
      <c r="A88">
        <v>292.97720336914102</v>
      </c>
      <c r="B88">
        <v>71.701732635498004</v>
      </c>
      <c r="C88" s="1">
        <v>9.0403208155029707E-5</v>
      </c>
      <c r="D88" s="1">
        <v>2.9676556896738002E-7</v>
      </c>
      <c r="F88">
        <f t="shared" si="3"/>
        <v>9.0403208155029706E-8</v>
      </c>
      <c r="G88">
        <f t="shared" si="4"/>
        <v>5705.8425885964898</v>
      </c>
      <c r="H88">
        <f t="shared" si="5"/>
        <v>56220.900593923943</v>
      </c>
    </row>
    <row r="89" spans="1:8" x14ac:dyDescent="0.2">
      <c r="A89">
        <v>292.97772216796898</v>
      </c>
      <c r="B89">
        <v>58.136781692504897</v>
      </c>
      <c r="C89" s="1">
        <v>8.7806818017229399E-5</v>
      </c>
      <c r="D89" s="1">
        <v>3.0104295355263798E-7</v>
      </c>
      <c r="F89">
        <f t="shared" si="3"/>
        <v>8.7806818017229393E-8</v>
      </c>
      <c r="G89">
        <f t="shared" si="4"/>
        <v>4626.3780909082798</v>
      </c>
      <c r="H89">
        <f t="shared" si="5"/>
        <v>54606.230110217286</v>
      </c>
    </row>
    <row r="90" spans="1:8" x14ac:dyDescent="0.2">
      <c r="A90">
        <v>292.9775390625</v>
      </c>
      <c r="B90">
        <v>47.014253616333001</v>
      </c>
      <c r="C90" s="1">
        <v>8.3939481154073395E-5</v>
      </c>
      <c r="D90" s="1">
        <v>3.6425530858558297E-7</v>
      </c>
      <c r="F90">
        <f t="shared" si="3"/>
        <v>8.3939481154073393E-8</v>
      </c>
      <c r="G90">
        <f t="shared" si="4"/>
        <v>3741.2754294077067</v>
      </c>
      <c r="H90">
        <f t="shared" si="5"/>
        <v>52201.169871936188</v>
      </c>
    </row>
    <row r="91" spans="1:8" x14ac:dyDescent="0.2">
      <c r="A91">
        <v>292.97636413574202</v>
      </c>
      <c r="B91">
        <v>38.261501312255902</v>
      </c>
      <c r="C91" s="1">
        <v>8.2032205113938804E-5</v>
      </c>
      <c r="D91" s="1">
        <v>2.9871066402668501E-7</v>
      </c>
      <c r="F91">
        <f t="shared" si="3"/>
        <v>8.2032205113938801E-8</v>
      </c>
      <c r="G91">
        <f t="shared" si="4"/>
        <v>3044.7535319812837</v>
      </c>
      <c r="H91">
        <f t="shared" si="5"/>
        <v>51015.052931553982</v>
      </c>
    </row>
    <row r="92" spans="1:8" x14ac:dyDescent="0.2">
      <c r="A92">
        <v>292.97732543945301</v>
      </c>
      <c r="B92">
        <v>30.970570564270002</v>
      </c>
      <c r="C92" s="1">
        <v>7.9243938200422706E-5</v>
      </c>
      <c r="D92" s="1">
        <v>2.8476147446523599E-7</v>
      </c>
      <c r="F92">
        <f t="shared" si="3"/>
        <v>7.9243938200422704E-8</v>
      </c>
      <c r="G92">
        <f t="shared" si="4"/>
        <v>2464.5596978399603</v>
      </c>
      <c r="H92">
        <f t="shared" si="5"/>
        <v>49281.056094790241</v>
      </c>
    </row>
    <row r="93" spans="1:8" x14ac:dyDescent="0.2">
      <c r="A93">
        <v>292.97660827636702</v>
      </c>
      <c r="B93">
        <v>25.068819999694799</v>
      </c>
      <c r="C93" s="1">
        <v>7.7695384286385706E-5</v>
      </c>
      <c r="D93" s="1">
        <v>4.1519857407505202E-7</v>
      </c>
      <c r="F93">
        <f t="shared" si="3"/>
        <v>7.7695384286385703E-8</v>
      </c>
      <c r="G93">
        <f t="shared" si="4"/>
        <v>1994.9133102161968</v>
      </c>
      <c r="H93">
        <f t="shared" si="5"/>
        <v>48318.025053722449</v>
      </c>
    </row>
    <row r="94" spans="1:8" x14ac:dyDescent="0.2">
      <c r="A94">
        <v>292.97784423828102</v>
      </c>
      <c r="B94">
        <v>20.302021980285598</v>
      </c>
      <c r="C94" s="1">
        <v>7.6663944331670201E-5</v>
      </c>
      <c r="D94" s="1">
        <v>3.3616303910290998E-7</v>
      </c>
      <c r="F94">
        <f t="shared" si="3"/>
        <v>7.6663944331670202E-8</v>
      </c>
      <c r="G94">
        <f t="shared" si="4"/>
        <v>1615.5835764613812</v>
      </c>
      <c r="H94">
        <f t="shared" si="5"/>
        <v>47676.582295814806</v>
      </c>
    </row>
    <row r="95" spans="1:8" x14ac:dyDescent="0.2">
      <c r="A95">
        <v>292.97834777832003</v>
      </c>
      <c r="B95">
        <v>16.533981323242202</v>
      </c>
      <c r="C95" s="1">
        <v>7.5784428255621495E-5</v>
      </c>
      <c r="D95" s="1">
        <v>3.8294388487762197E-7</v>
      </c>
      <c r="F95">
        <f t="shared" si="3"/>
        <v>7.5784428255621497E-8</v>
      </c>
      <c r="G95">
        <f t="shared" si="4"/>
        <v>1315.7324282915365</v>
      </c>
      <c r="H95">
        <f t="shared" si="5"/>
        <v>47129.619561953667</v>
      </c>
    </row>
    <row r="96" spans="1:8" x14ac:dyDescent="0.2">
      <c r="A96">
        <v>292.97666931152298</v>
      </c>
      <c r="B96">
        <v>13.1836018562317</v>
      </c>
      <c r="C96" s="1">
        <v>7.4208314579009101E-5</v>
      </c>
      <c r="D96" s="1">
        <v>3.3041822660652301E-7</v>
      </c>
      <c r="F96">
        <f t="shared" si="3"/>
        <v>7.4208314579009104E-8</v>
      </c>
      <c r="G96">
        <f t="shared" si="4"/>
        <v>1049.1177015873811</v>
      </c>
      <c r="H96">
        <f t="shared" si="5"/>
        <v>46149.449365055414</v>
      </c>
    </row>
    <row r="97" spans="1:8" x14ac:dyDescent="0.2">
      <c r="A97">
        <v>292.97705078125</v>
      </c>
      <c r="B97">
        <v>10.831981658935501</v>
      </c>
      <c r="C97" s="1">
        <v>7.3093740485582302E-5</v>
      </c>
      <c r="D97" s="1">
        <v>3.7376231683199802E-7</v>
      </c>
      <c r="F97">
        <f t="shared" si="3"/>
        <v>7.3093740485582299E-8</v>
      </c>
      <c r="G97">
        <f t="shared" si="4"/>
        <v>861.98171225016688</v>
      </c>
      <c r="H97">
        <f t="shared" si="5"/>
        <v>45456.306272128299</v>
      </c>
    </row>
    <row r="98" spans="1:8" x14ac:dyDescent="0.2">
      <c r="A98">
        <v>292.97648620605497</v>
      </c>
      <c r="B98">
        <v>8.7255110740661603</v>
      </c>
      <c r="C98" s="1">
        <v>7.2485785235151595E-5</v>
      </c>
      <c r="D98" s="1">
        <v>3.12289570762177E-7</v>
      </c>
      <c r="F98">
        <f t="shared" si="3"/>
        <v>7.2485785235151598E-8</v>
      </c>
      <c r="G98">
        <f t="shared" si="4"/>
        <v>694.35410922035112</v>
      </c>
      <c r="H98">
        <f t="shared" si="5"/>
        <v>45078.224648726115</v>
      </c>
    </row>
    <row r="99" spans="1:8" x14ac:dyDescent="0.2">
      <c r="A99">
        <v>292.97743225097702</v>
      </c>
      <c r="B99">
        <v>7.10025978088379</v>
      </c>
      <c r="C99" s="1">
        <v>7.1919071526169997E-5</v>
      </c>
      <c r="D99" s="1">
        <v>3.07242804017886E-7</v>
      </c>
      <c r="F99">
        <f t="shared" si="3"/>
        <v>7.1919071526170001E-8</v>
      </c>
      <c r="G99">
        <f t="shared" si="4"/>
        <v>565.02072068211646</v>
      </c>
      <c r="H99">
        <f t="shared" si="5"/>
        <v>44725.79075010572</v>
      </c>
    </row>
    <row r="100" spans="1:8" x14ac:dyDescent="0.2">
      <c r="A100">
        <v>292.97840881347702</v>
      </c>
      <c r="B100">
        <v>6.4556071758270299</v>
      </c>
      <c r="C100" s="1">
        <v>7.1501411263564401E-5</v>
      </c>
      <c r="D100" s="1">
        <v>3.1923062468501102E-7</v>
      </c>
      <c r="F100">
        <f t="shared" si="3"/>
        <v>7.1501411263564395E-8</v>
      </c>
      <c r="G100">
        <f t="shared" si="4"/>
        <v>513.72089634619113</v>
      </c>
      <c r="H100">
        <f t="shared" si="5"/>
        <v>44466.051780823625</v>
      </c>
    </row>
    <row r="101" spans="1:8" x14ac:dyDescent="0.2">
      <c r="A101">
        <v>292.979248046875</v>
      </c>
      <c r="B101">
        <v>4.6306042671203604</v>
      </c>
      <c r="C101" s="1">
        <v>7.0511917049038503E-5</v>
      </c>
      <c r="D101" s="1">
        <v>3.0161767716084199E-7</v>
      </c>
      <c r="F101">
        <f t="shared" si="3"/>
        <v>7.0511917049038502E-8</v>
      </c>
      <c r="G101">
        <f t="shared" si="4"/>
        <v>368.49177930731435</v>
      </c>
      <c r="H101">
        <f t="shared" si="5"/>
        <v>43850.694682237874</v>
      </c>
    </row>
    <row r="102" spans="1:8" x14ac:dyDescent="0.2">
      <c r="A102">
        <v>292.97811889648398</v>
      </c>
      <c r="B102">
        <v>4.5398080348968497</v>
      </c>
      <c r="C102" s="1">
        <v>7.0534358850664894E-5</v>
      </c>
      <c r="D102" s="1">
        <v>3.1767153097535998E-7</v>
      </c>
      <c r="F102">
        <f t="shared" si="3"/>
        <v>7.0534358850664895E-8</v>
      </c>
      <c r="G102">
        <f t="shared" si="4"/>
        <v>361.26644472106869</v>
      </c>
      <c r="H102">
        <f t="shared" si="5"/>
        <v>43864.651026532898</v>
      </c>
    </row>
    <row r="103" spans="1:8" x14ac:dyDescent="0.2">
      <c r="A103">
        <v>292.97764587402298</v>
      </c>
      <c r="B103">
        <v>2.8328402042388898</v>
      </c>
      <c r="C103" s="1">
        <v>7.0179680562823104E-5</v>
      </c>
      <c r="D103" s="1">
        <v>3.4779435322045698E-7</v>
      </c>
      <c r="F103">
        <f t="shared" si="3"/>
        <v>7.01796805628231E-8</v>
      </c>
      <c r="G103">
        <f t="shared" si="4"/>
        <v>225.43026074703684</v>
      </c>
      <c r="H103">
        <f t="shared" si="5"/>
        <v>43644.079952004417</v>
      </c>
    </row>
    <row r="104" spans="1:8" x14ac:dyDescent="0.2">
      <c r="A104">
        <v>292.97673034667997</v>
      </c>
      <c r="B104">
        <v>2.8509993553161599</v>
      </c>
      <c r="C104" s="1">
        <v>6.9600536526072198E-5</v>
      </c>
      <c r="D104" s="1">
        <v>3.5910554251513999E-7</v>
      </c>
      <c r="F104">
        <f t="shared" si="3"/>
        <v>6.9600536526072192E-8</v>
      </c>
      <c r="G104">
        <f t="shared" si="4"/>
        <v>226.87532007518686</v>
      </c>
      <c r="H104">
        <f t="shared" si="5"/>
        <v>43283.915750044893</v>
      </c>
    </row>
    <row r="105" spans="1:8" x14ac:dyDescent="0.2">
      <c r="A105">
        <v>292.976806640625</v>
      </c>
      <c r="B105">
        <v>2.86007905006409</v>
      </c>
      <c r="C105" s="1">
        <v>6.98853824795188E-5</v>
      </c>
      <c r="D105" s="1">
        <v>3.3300633232748001E-7</v>
      </c>
      <c r="F105">
        <f t="shared" si="3"/>
        <v>6.9885382479518801E-8</v>
      </c>
      <c r="G105">
        <f t="shared" si="4"/>
        <v>227.59785922563617</v>
      </c>
      <c r="H105">
        <f t="shared" si="5"/>
        <v>43461.05875591965</v>
      </c>
    </row>
    <row r="106" spans="1:8" x14ac:dyDescent="0.2">
      <c r="A106">
        <v>292.97790527343801</v>
      </c>
      <c r="B106">
        <v>2.2699040174484302</v>
      </c>
      <c r="C106" s="1">
        <v>6.9473434934728699E-5</v>
      </c>
      <c r="D106" s="1">
        <v>3.0742805321777098E-7</v>
      </c>
      <c r="F106">
        <f t="shared" si="3"/>
        <v>6.9473434934728692E-8</v>
      </c>
      <c r="G106">
        <f t="shared" si="4"/>
        <v>180.63322236053477</v>
      </c>
      <c r="H106">
        <f t="shared" si="5"/>
        <v>43204.872471846204</v>
      </c>
    </row>
    <row r="107" spans="1:8" x14ac:dyDescent="0.2">
      <c r="A107">
        <v>292.97647094726602</v>
      </c>
      <c r="B107">
        <v>1.81592321395874</v>
      </c>
      <c r="C107" s="1">
        <v>6.8720819513342705E-5</v>
      </c>
      <c r="D107" s="1">
        <v>3.2916983289397499E-7</v>
      </c>
      <c r="F107">
        <f t="shared" si="3"/>
        <v>6.8720819513342705E-8</v>
      </c>
      <c r="G107">
        <f t="shared" si="4"/>
        <v>144.50657788842747</v>
      </c>
      <c r="H107">
        <f t="shared" si="5"/>
        <v>42736.828055561382</v>
      </c>
    </row>
    <row r="108" spans="1:8" x14ac:dyDescent="0.2">
      <c r="A108">
        <v>292.97691345214798</v>
      </c>
      <c r="B108">
        <v>1.47997742891312</v>
      </c>
      <c r="C108" s="1">
        <v>6.8381288786520598E-5</v>
      </c>
      <c r="D108" s="1">
        <v>3.4931725895770401E-7</v>
      </c>
      <c r="F108">
        <f t="shared" si="3"/>
        <v>6.8381288786520604E-8</v>
      </c>
      <c r="G108">
        <f t="shared" si="4"/>
        <v>117.7728617379786</v>
      </c>
      <c r="H108">
        <f t="shared" si="5"/>
        <v>42525.67710604515</v>
      </c>
    </row>
    <row r="109" spans="1:8" x14ac:dyDescent="0.2">
      <c r="A109">
        <v>292.97746276855497</v>
      </c>
      <c r="B109">
        <v>-1.4436590075492901</v>
      </c>
      <c r="C109" s="1">
        <v>6.80867096114923E-5</v>
      </c>
      <c r="D109" s="1">
        <v>3.35009434055694E-7</v>
      </c>
      <c r="F109">
        <f t="shared" si="3"/>
        <v>6.8086709611492298E-8</v>
      </c>
      <c r="G109">
        <f t="shared" si="4"/>
        <v>-114.8827335953047</v>
      </c>
      <c r="H109">
        <f t="shared" si="5"/>
        <v>42342.481101674312</v>
      </c>
    </row>
    <row r="110" spans="1:8" x14ac:dyDescent="0.2">
      <c r="A110">
        <v>292.97705078125</v>
      </c>
      <c r="B110">
        <v>-1.47089779376984</v>
      </c>
      <c r="C110" s="1">
        <v>6.7948254979871399E-5</v>
      </c>
      <c r="D110" s="1">
        <v>3.6612231505206201E-7</v>
      </c>
      <c r="F110">
        <f t="shared" si="3"/>
        <v>6.7948254979871393E-8</v>
      </c>
      <c r="G110">
        <f t="shared" si="4"/>
        <v>-117.05032733071666</v>
      </c>
      <c r="H110">
        <f t="shared" si="5"/>
        <v>42256.377475044399</v>
      </c>
    </row>
    <row r="111" spans="1:8" x14ac:dyDescent="0.2">
      <c r="A111">
        <v>292.97712707519503</v>
      </c>
      <c r="B111">
        <v>-1.4890570640564</v>
      </c>
      <c r="C111" s="1">
        <v>6.7785546466683606E-5</v>
      </c>
      <c r="D111" s="1">
        <v>3.5946902731130699E-7</v>
      </c>
      <c r="F111">
        <f t="shared" si="3"/>
        <v>6.7785546466683605E-8</v>
      </c>
      <c r="G111">
        <f t="shared" si="4"/>
        <v>-118.49539614524056</v>
      </c>
      <c r="H111">
        <f t="shared" si="5"/>
        <v>42155.190588733582</v>
      </c>
    </row>
    <row r="112" spans="1:8" x14ac:dyDescent="0.2">
      <c r="A112">
        <v>292.97683715820301</v>
      </c>
      <c r="B112">
        <v>-1.47997742891312</v>
      </c>
      <c r="C112" s="1">
        <v>6.8054052906215198E-5</v>
      </c>
      <c r="D112" s="1">
        <v>2.65789529512758E-7</v>
      </c>
      <c r="F112">
        <f t="shared" si="3"/>
        <v>6.8054052906215204E-8</v>
      </c>
      <c r="G112">
        <f t="shared" si="4"/>
        <v>-117.7728617379786</v>
      </c>
      <c r="H112">
        <f t="shared" si="5"/>
        <v>42322.17220535771</v>
      </c>
    </row>
    <row r="113" spans="1:8" x14ac:dyDescent="0.2">
      <c r="A113">
        <v>292.97724914550798</v>
      </c>
      <c r="B113">
        <v>-1.92487865686417</v>
      </c>
      <c r="C113" s="1">
        <v>6.7503170183755997E-5</v>
      </c>
      <c r="D113" s="1">
        <v>3.6062263902050402E-7</v>
      </c>
      <c r="F113">
        <f t="shared" si="3"/>
        <v>6.7503170183756003E-8</v>
      </c>
      <c r="G113">
        <f t="shared" si="4"/>
        <v>-153.17697654601048</v>
      </c>
      <c r="H113">
        <f t="shared" si="5"/>
        <v>41979.583447609453</v>
      </c>
    </row>
    <row r="114" spans="1:8" x14ac:dyDescent="0.2">
      <c r="A114">
        <v>292.97842407226602</v>
      </c>
      <c r="B114">
        <v>-3.3503783941268899</v>
      </c>
      <c r="C114" s="1">
        <v>6.7026723996571806E-5</v>
      </c>
      <c r="D114" s="1">
        <v>3.1036180311114503E-7</v>
      </c>
      <c r="F114">
        <f t="shared" si="3"/>
        <v>6.7026723996571806E-8</v>
      </c>
      <c r="G114">
        <f t="shared" si="4"/>
        <v>-266.61464132679043</v>
      </c>
      <c r="H114">
        <f t="shared" si="5"/>
        <v>41683.286067519781</v>
      </c>
    </row>
    <row r="115" spans="1:8" x14ac:dyDescent="0.2">
      <c r="A115">
        <v>292.97763061523398</v>
      </c>
      <c r="B115">
        <v>-3.35945785045624</v>
      </c>
      <c r="C115" s="1">
        <v>6.6686930479261503E-5</v>
      </c>
      <c r="D115" s="1">
        <v>3.9524498324494298E-7</v>
      </c>
      <c r="F115">
        <f t="shared" si="3"/>
        <v>6.6686930479261503E-8</v>
      </c>
      <c r="G115">
        <f t="shared" si="4"/>
        <v>-267.33716150449197</v>
      </c>
      <c r="H115">
        <f t="shared" si="5"/>
        <v>41471.971691083025</v>
      </c>
    </row>
    <row r="116" spans="1:8" x14ac:dyDescent="0.2">
      <c r="A116">
        <v>292.97741699218801</v>
      </c>
      <c r="B116">
        <v>-4.9937887191772496</v>
      </c>
      <c r="C116" s="1">
        <v>6.6317700046883806E-5</v>
      </c>
      <c r="D116" s="1">
        <v>3.6450152699449301E-7</v>
      </c>
      <c r="F116">
        <f t="shared" si="3"/>
        <v>6.6317700046883812E-8</v>
      </c>
      <c r="G116">
        <f t="shared" si="4"/>
        <v>-397.39307970680204</v>
      </c>
      <c r="H116">
        <f t="shared" si="5"/>
        <v>41242.350775425257</v>
      </c>
    </row>
    <row r="117" spans="1:8" x14ac:dyDescent="0.2">
      <c r="A117">
        <v>292.97676086425798</v>
      </c>
      <c r="B117">
        <v>-5.4477696418762198</v>
      </c>
      <c r="C117" s="1">
        <v>6.68869964980504E-5</v>
      </c>
      <c r="D117" s="1">
        <v>2.9333391744738302E-7</v>
      </c>
      <c r="F117">
        <f t="shared" si="3"/>
        <v>6.6886996498050404E-8</v>
      </c>
      <c r="G117">
        <f t="shared" si="4"/>
        <v>-433.51973366528239</v>
      </c>
      <c r="H117">
        <f t="shared" si="5"/>
        <v>41596.390856996521</v>
      </c>
    </row>
    <row r="118" spans="1:8" x14ac:dyDescent="0.2">
      <c r="A118">
        <v>292.97724914550798</v>
      </c>
      <c r="B118">
        <v>-7.4816038608550999</v>
      </c>
      <c r="C118" s="1">
        <v>6.6389893651651707E-5</v>
      </c>
      <c r="D118" s="1">
        <v>3.1400315699950798E-7</v>
      </c>
      <c r="F118">
        <f t="shared" si="3"/>
        <v>6.6389893651651705E-8</v>
      </c>
      <c r="G118">
        <f t="shared" si="4"/>
        <v>-595.36711835524898</v>
      </c>
      <c r="H118">
        <f t="shared" si="5"/>
        <v>41287.247295803296</v>
      </c>
    </row>
    <row r="119" spans="1:8" x14ac:dyDescent="0.2">
      <c r="A119">
        <v>292.97761535644503</v>
      </c>
      <c r="B119">
        <v>-9.2248902320861799</v>
      </c>
      <c r="C119" s="1">
        <v>6.58245968294082E-5</v>
      </c>
      <c r="D119" s="1">
        <v>3.8692913188254698E-7</v>
      </c>
      <c r="F119">
        <f t="shared" si="3"/>
        <v>6.5824596829408202E-8</v>
      </c>
      <c r="G119">
        <f t="shared" si="4"/>
        <v>-734.09343995832853</v>
      </c>
      <c r="H119">
        <f t="shared" si="5"/>
        <v>40935.694545651866</v>
      </c>
    </row>
    <row r="120" spans="1:8" x14ac:dyDescent="0.2">
      <c r="A120">
        <v>292.9794921875</v>
      </c>
      <c r="B120">
        <v>-11.2678036689758</v>
      </c>
      <c r="C120" s="1">
        <v>6.5011780780557603E-5</v>
      </c>
      <c r="D120" s="1">
        <v>2.9951005557303399E-7</v>
      </c>
      <c r="F120">
        <f t="shared" si="3"/>
        <v>6.5011780780557599E-8</v>
      </c>
      <c r="G120">
        <f t="shared" si="4"/>
        <v>-896.66332585324642</v>
      </c>
      <c r="H120">
        <f t="shared" si="5"/>
        <v>40430.211928207464</v>
      </c>
    </row>
    <row r="121" spans="1:8" x14ac:dyDescent="0.2">
      <c r="A121">
        <v>292.97843933105497</v>
      </c>
      <c r="B121">
        <v>-13.555866718292201</v>
      </c>
      <c r="C121" s="1">
        <v>6.4600043699404906E-5</v>
      </c>
      <c r="D121" s="1">
        <v>3.4175779050678801E-7</v>
      </c>
      <c r="F121">
        <f t="shared" si="3"/>
        <v>6.4600043699404905E-8</v>
      </c>
      <c r="G121">
        <f t="shared" si="4"/>
        <v>-1078.7415980555566</v>
      </c>
      <c r="H121">
        <f t="shared" si="5"/>
        <v>40174.156529480664</v>
      </c>
    </row>
    <row r="122" spans="1:8" x14ac:dyDescent="0.2">
      <c r="A122">
        <v>292.97848510742199</v>
      </c>
      <c r="B122">
        <v>-16.987961769104</v>
      </c>
      <c r="C122" s="1">
        <v>6.3415897897968097E-5</v>
      </c>
      <c r="D122" s="1">
        <v>3.2133134462930502E-7</v>
      </c>
      <c r="F122">
        <f t="shared" si="3"/>
        <v>6.3415897897968096E-8</v>
      </c>
      <c r="G122">
        <f t="shared" si="4"/>
        <v>-1351.8590443045205</v>
      </c>
      <c r="H122">
        <f t="shared" si="5"/>
        <v>39437.747448985137</v>
      </c>
    </row>
    <row r="123" spans="1:8" x14ac:dyDescent="0.2">
      <c r="A123">
        <v>292.97766113281199</v>
      </c>
      <c r="B123">
        <v>-20.719682693481399</v>
      </c>
      <c r="C123" s="1">
        <v>6.3403820568992098E-5</v>
      </c>
      <c r="D123" s="1">
        <v>2.7417671894327002E-7</v>
      </c>
      <c r="F123">
        <f t="shared" si="3"/>
        <v>6.3403820568992091E-8</v>
      </c>
      <c r="G123">
        <f t="shared" si="4"/>
        <v>-1648.8199599815803</v>
      </c>
      <c r="H123">
        <f t="shared" si="5"/>
        <v>39430.236672258761</v>
      </c>
    </row>
    <row r="124" spans="1:8" x14ac:dyDescent="0.2">
      <c r="A124">
        <v>292.97734069824202</v>
      </c>
      <c r="B124">
        <v>-25.395685195922901</v>
      </c>
      <c r="C124" s="1">
        <v>6.3294815309325702E-5</v>
      </c>
      <c r="D124" s="1">
        <v>3.20085655399032E-7</v>
      </c>
      <c r="F124">
        <f t="shared" si="3"/>
        <v>6.3294815309325701E-8</v>
      </c>
      <c r="G124">
        <f t="shared" si="4"/>
        <v>-2020.9244160683993</v>
      </c>
      <c r="H124">
        <f t="shared" si="5"/>
        <v>39362.447331670213</v>
      </c>
    </row>
    <row r="125" spans="1:8" x14ac:dyDescent="0.2">
      <c r="A125">
        <v>292.97738647460898</v>
      </c>
      <c r="B125">
        <v>-31.3246746063232</v>
      </c>
      <c r="C125" s="1">
        <v>6.2062467182631803E-5</v>
      </c>
      <c r="D125" s="1">
        <v>3.7576994831695402E-7</v>
      </c>
      <c r="F125">
        <f t="shared" si="3"/>
        <v>6.2062467182631808E-8</v>
      </c>
      <c r="G125">
        <f t="shared" si="4"/>
        <v>-2492.7384021707539</v>
      </c>
      <c r="H125">
        <f t="shared" si="5"/>
        <v>38596.061680741172</v>
      </c>
    </row>
    <row r="126" spans="1:8" x14ac:dyDescent="0.2">
      <c r="A126">
        <v>292.97720336914102</v>
      </c>
      <c r="B126">
        <v>-38.3795356750488</v>
      </c>
      <c r="C126" s="1">
        <v>6.1443828864233299E-5</v>
      </c>
      <c r="D126" s="1">
        <v>3.3513322505245501E-7</v>
      </c>
      <c r="F126">
        <f t="shared" si="3"/>
        <v>6.1443828864233303E-8</v>
      </c>
      <c r="G126">
        <f t="shared" si="4"/>
        <v>-3054.1464081278796</v>
      </c>
      <c r="H126">
        <f t="shared" si="5"/>
        <v>38211.336358354041</v>
      </c>
    </row>
    <row r="127" spans="1:8" x14ac:dyDescent="0.2">
      <c r="A127">
        <v>292.97857666015602</v>
      </c>
      <c r="B127">
        <v>-47.377437591552699</v>
      </c>
      <c r="C127" s="1">
        <v>5.94735949087269E-5</v>
      </c>
      <c r="D127" s="1">
        <v>3.7148242553212399E-7</v>
      </c>
      <c r="F127">
        <f t="shared" si="3"/>
        <v>5.94735949087269E-8</v>
      </c>
      <c r="G127">
        <f t="shared" si="4"/>
        <v>-3770.1766918616963</v>
      </c>
      <c r="H127">
        <f t="shared" si="5"/>
        <v>36986.06648552668</v>
      </c>
    </row>
    <row r="128" spans="1:8" x14ac:dyDescent="0.2">
      <c r="A128">
        <v>292.97854614257801</v>
      </c>
      <c r="B128">
        <v>-58.191257476806598</v>
      </c>
      <c r="C128" s="1">
        <v>5.7404744096708398E-5</v>
      </c>
      <c r="D128" s="1">
        <v>3.4494140687394899E-7</v>
      </c>
      <c r="F128">
        <f t="shared" si="3"/>
        <v>5.74047440967084E-8</v>
      </c>
      <c r="G128">
        <f t="shared" si="4"/>
        <v>-4630.7131360834919</v>
      </c>
      <c r="H128">
        <f t="shared" si="5"/>
        <v>35699.467721833578</v>
      </c>
    </row>
    <row r="129" spans="1:8" x14ac:dyDescent="0.2">
      <c r="A129">
        <v>292.97859191894503</v>
      </c>
      <c r="B129">
        <v>-71.665412902832003</v>
      </c>
      <c r="C129" s="1">
        <v>5.5595619431896698E-5</v>
      </c>
      <c r="D129" s="1">
        <v>3.2511984453780902E-7</v>
      </c>
      <c r="F129">
        <f t="shared" si="3"/>
        <v>5.5595619431896698E-8</v>
      </c>
      <c r="G129">
        <f t="shared" si="4"/>
        <v>-5702.9523561037049</v>
      </c>
      <c r="H129">
        <f t="shared" si="5"/>
        <v>34574.390193965606</v>
      </c>
    </row>
    <row r="130" spans="1:8" x14ac:dyDescent="0.2">
      <c r="A130">
        <v>292.97789001464798</v>
      </c>
      <c r="B130">
        <v>-88.144912719726605</v>
      </c>
      <c r="C130" s="1">
        <v>5.3506969707268699E-5</v>
      </c>
      <c r="D130" s="1">
        <v>3.8344561263609101E-7</v>
      </c>
      <c r="F130">
        <f t="shared" si="3"/>
        <v>5.3506969707268697E-8</v>
      </c>
      <c r="G130">
        <f t="shared" si="4"/>
        <v>-7014.3492838740849</v>
      </c>
      <c r="H130">
        <f t="shared" si="5"/>
        <v>33275.478673674559</v>
      </c>
    </row>
    <row r="131" spans="1:8" x14ac:dyDescent="0.2">
      <c r="A131">
        <v>292.97766113281199</v>
      </c>
      <c r="B131">
        <v>-108.48325347900401</v>
      </c>
      <c r="C131" s="1">
        <v>4.9689832849469401E-5</v>
      </c>
      <c r="D131" s="1">
        <v>3.1469958315666499E-7</v>
      </c>
      <c r="F131">
        <f t="shared" si="3"/>
        <v>4.9689832849469401E-8</v>
      </c>
      <c r="G131">
        <f t="shared" si="4"/>
        <v>-8632.8230169372709</v>
      </c>
      <c r="H131">
        <f t="shared" si="5"/>
        <v>30901.637344197388</v>
      </c>
    </row>
    <row r="132" spans="1:8" x14ac:dyDescent="0.2">
      <c r="A132">
        <v>292.97737121582003</v>
      </c>
      <c r="B132">
        <v>-133.71550750732399</v>
      </c>
      <c r="C132" s="1">
        <v>4.5745239658129201E-5</v>
      </c>
      <c r="D132" s="1">
        <v>3.39379808086769E-7</v>
      </c>
      <c r="F132">
        <f t="shared" si="3"/>
        <v>4.5745239658129198E-8</v>
      </c>
      <c r="G132">
        <f t="shared" si="4"/>
        <v>-10640.741993916026</v>
      </c>
      <c r="H132">
        <f t="shared" si="5"/>
        <v>28448.532125702237</v>
      </c>
    </row>
    <row r="133" spans="1:8" x14ac:dyDescent="0.2">
      <c r="A133">
        <v>292.97840881347702</v>
      </c>
      <c r="B133">
        <v>-164.58619689941401</v>
      </c>
      <c r="C133" s="1">
        <v>4.0038194000246198E-5</v>
      </c>
      <c r="D133" s="1">
        <v>3.5035146021837998E-7</v>
      </c>
      <c r="F133">
        <f t="shared" si="3"/>
        <v>4.0038194000246195E-8</v>
      </c>
      <c r="G133">
        <f t="shared" si="4"/>
        <v>-13097.353400618858</v>
      </c>
      <c r="H133">
        <f t="shared" si="5"/>
        <v>24899.374378262561</v>
      </c>
    </row>
    <row r="134" spans="1:8" x14ac:dyDescent="0.2">
      <c r="A134">
        <v>292.97784423828102</v>
      </c>
      <c r="B134">
        <v>-202.756912231445</v>
      </c>
      <c r="C134" s="1">
        <v>3.24783249910922E-5</v>
      </c>
      <c r="D134" s="1">
        <v>3.2339361084424298E-7</v>
      </c>
      <c r="F134">
        <f t="shared" si="3"/>
        <v>3.24783249910922E-8</v>
      </c>
      <c r="G134">
        <f t="shared" si="4"/>
        <v>-16134.882413842022</v>
      </c>
      <c r="H134">
        <f t="shared" si="5"/>
        <v>20197.963302918033</v>
      </c>
    </row>
    <row r="135" spans="1:8" x14ac:dyDescent="0.2">
      <c r="A135">
        <v>292.97813415527298</v>
      </c>
      <c r="B135">
        <v>-249.68035888671901</v>
      </c>
      <c r="C135" s="1">
        <v>2.2736192942965299E-5</v>
      </c>
      <c r="D135" s="1">
        <v>2.9311592850751098E-7</v>
      </c>
      <c r="F135">
        <f t="shared" si="3"/>
        <v>2.2736192942965299E-8</v>
      </c>
      <c r="G135">
        <f t="shared" si="4"/>
        <v>-19868.931654889886</v>
      </c>
      <c r="H135">
        <f t="shared" si="5"/>
        <v>14139.423471993345</v>
      </c>
    </row>
    <row r="136" spans="1:8" x14ac:dyDescent="0.2">
      <c r="A136">
        <v>292.97618103027298</v>
      </c>
      <c r="B136">
        <v>-307.03630065917997</v>
      </c>
      <c r="C136" s="1">
        <v>6.7858308970133298E-6</v>
      </c>
      <c r="D136" s="1">
        <v>2.94349876457658E-7</v>
      </c>
      <c r="F136">
        <f t="shared" si="3"/>
        <v>6.7858308970133298E-9</v>
      </c>
      <c r="G136">
        <f t="shared" si="4"/>
        <v>-24433.172479278928</v>
      </c>
      <c r="H136">
        <f t="shared" si="5"/>
        <v>4220.0440901824186</v>
      </c>
    </row>
    <row r="137" spans="1:8" x14ac:dyDescent="0.2">
      <c r="A137">
        <v>292.97787475585898</v>
      </c>
      <c r="B137">
        <v>-378.22956848144503</v>
      </c>
      <c r="C137" s="1">
        <v>-1.15279999176951E-5</v>
      </c>
      <c r="D137" s="1">
        <v>3.3481157141806899E-7</v>
      </c>
      <c r="F137">
        <f t="shared" ref="F137:F200" si="6">C137/1000</f>
        <v>-1.15279999176951E-8</v>
      </c>
      <c r="G137">
        <f t="shared" ref="G137:G200" si="7">(B137*1000)/(4*PI())</f>
        <v>-30098.552723668257</v>
      </c>
      <c r="H137">
        <f t="shared" ref="H137:H200" si="8">F137/$G$4</f>
        <v>-7169.1541776710819</v>
      </c>
    </row>
    <row r="138" spans="1:8" x14ac:dyDescent="0.2">
      <c r="A138">
        <v>292.97749328613298</v>
      </c>
      <c r="B138">
        <v>-465.59362792968699</v>
      </c>
      <c r="C138" s="1">
        <v>-3.7641282731094803E-5</v>
      </c>
      <c r="D138" s="1">
        <v>3.3702177432935702E-7</v>
      </c>
      <c r="F138">
        <f t="shared" si="6"/>
        <v>-3.7641282731094806E-8</v>
      </c>
      <c r="G138">
        <f t="shared" si="7"/>
        <v>-37050.763678549214</v>
      </c>
      <c r="H138">
        <f t="shared" si="8"/>
        <v>-23408.757917347517</v>
      </c>
    </row>
    <row r="139" spans="1:8" x14ac:dyDescent="0.2">
      <c r="A139">
        <v>292.97727966308599</v>
      </c>
      <c r="B139">
        <v>-573.56842041015602</v>
      </c>
      <c r="C139" s="1">
        <v>-6.5348500716517604E-5</v>
      </c>
      <c r="D139" s="1">
        <v>3.6491614324968202E-7</v>
      </c>
      <c r="F139">
        <f t="shared" si="6"/>
        <v>-6.5348500716517609E-8</v>
      </c>
      <c r="G139">
        <f t="shared" si="7"/>
        <v>-45643.124654843341</v>
      </c>
      <c r="H139">
        <f t="shared" si="8"/>
        <v>-40639.614873456223</v>
      </c>
    </row>
    <row r="140" spans="1:8" x14ac:dyDescent="0.2">
      <c r="A140">
        <v>292.97879028320301</v>
      </c>
      <c r="B140">
        <v>-705.97650146484398</v>
      </c>
      <c r="C140">
        <v>-1.0061753997061199E-4</v>
      </c>
      <c r="D140" s="1">
        <v>3.4047382673677201E-7</v>
      </c>
      <c r="F140">
        <f t="shared" si="6"/>
        <v>-1.00617539970612E-7</v>
      </c>
      <c r="G140">
        <f t="shared" si="7"/>
        <v>-56179.824957426303</v>
      </c>
      <c r="H140">
        <f t="shared" si="8"/>
        <v>-62573.096996649256</v>
      </c>
    </row>
    <row r="141" spans="1:8" x14ac:dyDescent="0.2">
      <c r="A141">
        <v>292.97785949707003</v>
      </c>
      <c r="B141">
        <v>-870.01791381835903</v>
      </c>
      <c r="C141">
        <v>-1.3194271996232301E-4</v>
      </c>
      <c r="D141" s="1">
        <v>3.8737776093607903E-7</v>
      </c>
      <c r="F141">
        <f t="shared" si="6"/>
        <v>-1.3194271996232302E-7</v>
      </c>
      <c r="G141">
        <f t="shared" si="7"/>
        <v>-69233.825781345222</v>
      </c>
      <c r="H141">
        <f t="shared" si="8"/>
        <v>-82053.930324827743</v>
      </c>
    </row>
    <row r="142" spans="1:8" x14ac:dyDescent="0.2">
      <c r="A142">
        <v>292.97921752929699</v>
      </c>
      <c r="B142">
        <v>-1071.1858520507801</v>
      </c>
      <c r="C142">
        <v>-1.65003603403815E-4</v>
      </c>
      <c r="D142" s="1">
        <v>3.6276992452267899E-7</v>
      </c>
      <c r="F142">
        <f t="shared" si="6"/>
        <v>-1.6500360340381499E-7</v>
      </c>
      <c r="G142">
        <f t="shared" si="7"/>
        <v>-85242.26166199267</v>
      </c>
      <c r="H142">
        <f t="shared" si="8"/>
        <v>-102614.18122127798</v>
      </c>
    </row>
    <row r="143" spans="1:8" x14ac:dyDescent="0.2">
      <c r="A143">
        <v>292.97837829589798</v>
      </c>
      <c r="B143">
        <v>-1319.20458984375</v>
      </c>
      <c r="C143">
        <v>-1.93321521513972E-4</v>
      </c>
      <c r="D143" s="1">
        <v>3.7674768503574601E-7</v>
      </c>
      <c r="F143">
        <f t="shared" si="6"/>
        <v>-1.9332152151397199E-7</v>
      </c>
      <c r="G143">
        <f t="shared" si="7"/>
        <v>-104978.96571157458</v>
      </c>
      <c r="H143">
        <f t="shared" si="8"/>
        <v>-120224.82681217164</v>
      </c>
    </row>
    <row r="144" spans="1:8" x14ac:dyDescent="0.2">
      <c r="A144">
        <v>292.97731018066401</v>
      </c>
      <c r="B144">
        <v>-1624.47045898438</v>
      </c>
      <c r="C144">
        <v>-2.2211180479638401E-4</v>
      </c>
      <c r="D144" s="1">
        <v>2.8462895438488202E-7</v>
      </c>
      <c r="F144">
        <f t="shared" si="6"/>
        <v>-2.22111804796384E-7</v>
      </c>
      <c r="G144">
        <f t="shared" si="7"/>
        <v>-129271.25172706204</v>
      </c>
      <c r="H144">
        <f t="shared" si="8"/>
        <v>-138129.23183854728</v>
      </c>
    </row>
    <row r="145" spans="1:8" x14ac:dyDescent="0.2">
      <c r="A145">
        <v>292.97758483886702</v>
      </c>
      <c r="B145">
        <v>-2001.41979980469</v>
      </c>
      <c r="C145">
        <v>-2.4863266311422302E-4</v>
      </c>
      <c r="D145" s="1">
        <v>3.8697140879524202E-7</v>
      </c>
      <c r="F145">
        <f t="shared" si="6"/>
        <v>-2.4863266311422302E-7</v>
      </c>
      <c r="G145">
        <f t="shared" si="7"/>
        <v>-159267.927170454</v>
      </c>
      <c r="H145">
        <f t="shared" si="8"/>
        <v>-154622.30293173072</v>
      </c>
    </row>
    <row r="146" spans="1:8" x14ac:dyDescent="0.2">
      <c r="A146">
        <v>292.97953796386702</v>
      </c>
      <c r="B146">
        <v>-2463.97192382813</v>
      </c>
      <c r="C146">
        <v>-2.7440000725889298E-4</v>
      </c>
      <c r="D146" s="1">
        <v>3.0830981750003601E-7</v>
      </c>
      <c r="F146">
        <f t="shared" si="6"/>
        <v>-2.7440000725889297E-7</v>
      </c>
      <c r="G146">
        <f t="shared" si="7"/>
        <v>-196076.65565844698</v>
      </c>
      <c r="H146">
        <f t="shared" si="8"/>
        <v>-170646.77068339114</v>
      </c>
    </row>
    <row r="147" spans="1:8" x14ac:dyDescent="0.2">
      <c r="A147">
        <v>292.97766113281199</v>
      </c>
      <c r="B147">
        <v>-3035.1884765625</v>
      </c>
      <c r="C147">
        <v>-2.9628709490441598E-4</v>
      </c>
      <c r="D147" s="1">
        <v>3.1847261215304299E-7</v>
      </c>
      <c r="F147">
        <f t="shared" si="6"/>
        <v>-2.96287094904416E-7</v>
      </c>
      <c r="G147">
        <f t="shared" si="7"/>
        <v>-241532.62463024061</v>
      </c>
      <c r="H147">
        <f t="shared" si="8"/>
        <v>-184258.14359727362</v>
      </c>
    </row>
    <row r="148" spans="1:8" x14ac:dyDescent="0.2">
      <c r="A148">
        <v>292.97776794433599</v>
      </c>
      <c r="B148">
        <v>-3737.9053955078102</v>
      </c>
      <c r="C148">
        <v>-3.1639706024651698E-4</v>
      </c>
      <c r="D148" s="1">
        <v>2.4498525886319701E-7</v>
      </c>
      <c r="F148">
        <f t="shared" si="6"/>
        <v>-3.1639706024651695E-7</v>
      </c>
      <c r="G148">
        <f t="shared" si="7"/>
        <v>-297453.06025246705</v>
      </c>
      <c r="H148">
        <f t="shared" si="8"/>
        <v>-196764.34094932646</v>
      </c>
    </row>
    <row r="149" spans="1:8" x14ac:dyDescent="0.2">
      <c r="A149">
        <v>292.97871398925798</v>
      </c>
      <c r="B149">
        <v>-4602.89306640625</v>
      </c>
      <c r="C149">
        <v>-3.3471916691482601E-4</v>
      </c>
      <c r="D149" s="1">
        <v>3.0208445288174199E-7</v>
      </c>
      <c r="F149">
        <f t="shared" si="6"/>
        <v>-3.3471916691482604E-7</v>
      </c>
      <c r="G149">
        <f t="shared" si="7"/>
        <v>-366286.59202098317</v>
      </c>
      <c r="H149">
        <f t="shared" si="8"/>
        <v>-208158.68589230475</v>
      </c>
    </row>
    <row r="150" spans="1:8" x14ac:dyDescent="0.2">
      <c r="A150">
        <v>292.97787475585898</v>
      </c>
      <c r="B150">
        <v>-5669.1398925781205</v>
      </c>
      <c r="C150">
        <v>-3.4783279635267501E-4</v>
      </c>
      <c r="D150" s="1">
        <v>3.4242354059914102E-7</v>
      </c>
      <c r="F150">
        <f t="shared" si="6"/>
        <v>-3.4783279635267502E-7</v>
      </c>
      <c r="G150">
        <f t="shared" si="7"/>
        <v>-451135.81849163224</v>
      </c>
      <c r="H150">
        <f t="shared" si="8"/>
        <v>-216313.92808002178</v>
      </c>
    </row>
    <row r="151" spans="1:8" x14ac:dyDescent="0.2">
      <c r="A151">
        <v>292.97671508789102</v>
      </c>
      <c r="B151">
        <v>-6981.68017578125</v>
      </c>
      <c r="C151">
        <v>-3.5815046301845897E-4</v>
      </c>
      <c r="D151" s="1">
        <v>3.7492504089774798E-7</v>
      </c>
      <c r="F151">
        <f t="shared" si="6"/>
        <v>-3.5815046301845897E-7</v>
      </c>
      <c r="G151">
        <f t="shared" si="7"/>
        <v>-555584.45553113939</v>
      </c>
      <c r="H151">
        <f t="shared" si="8"/>
        <v>-222730.3874492904</v>
      </c>
    </row>
    <row r="152" spans="1:8" x14ac:dyDescent="0.2">
      <c r="A152">
        <v>292.97898864746099</v>
      </c>
      <c r="B152">
        <v>-8598.8232421875</v>
      </c>
      <c r="C152">
        <v>-3.6338525318836402E-4</v>
      </c>
      <c r="D152" s="1">
        <v>3.2478844865442498E-7</v>
      </c>
      <c r="F152">
        <f t="shared" si="6"/>
        <v>-3.6338525318836405E-7</v>
      </c>
      <c r="G152">
        <f t="shared" si="7"/>
        <v>-684272.61188380932</v>
      </c>
      <c r="H152">
        <f t="shared" si="8"/>
        <v>-225985.8539728632</v>
      </c>
    </row>
    <row r="153" spans="1:8" x14ac:dyDescent="0.2">
      <c r="A153">
        <v>292.97784423828102</v>
      </c>
      <c r="B153">
        <v>-10589.3017578125</v>
      </c>
      <c r="C153">
        <v>-3.6420297542532899E-4</v>
      </c>
      <c r="D153" s="1">
        <v>4.1417897794865902E-7</v>
      </c>
      <c r="F153">
        <f t="shared" si="6"/>
        <v>-3.64202975425329E-7</v>
      </c>
      <c r="G153">
        <f t="shared" si="7"/>
        <v>-842669.85932377784</v>
      </c>
      <c r="H153">
        <f t="shared" si="8"/>
        <v>-226494.38770231904</v>
      </c>
    </row>
    <row r="154" spans="1:8" x14ac:dyDescent="0.2">
      <c r="A154">
        <v>292.97799682617199</v>
      </c>
      <c r="B154">
        <v>-13041.134765625</v>
      </c>
      <c r="C154">
        <v>-3.5974073352943299E-4</v>
      </c>
      <c r="D154" s="1">
        <v>3.7207662766583902E-7</v>
      </c>
      <c r="F154">
        <f t="shared" si="6"/>
        <v>-3.59740733529433E-7</v>
      </c>
      <c r="G154">
        <f t="shared" si="7"/>
        <v>-1037780.5307383924</v>
      </c>
      <c r="H154">
        <f t="shared" si="8"/>
        <v>-223719.36164765732</v>
      </c>
    </row>
    <row r="155" spans="1:8" x14ac:dyDescent="0.2">
      <c r="A155">
        <v>292.98023986816401</v>
      </c>
      <c r="B155">
        <v>-16060.7783203125</v>
      </c>
      <c r="C155">
        <v>-3.4894691762255101E-4</v>
      </c>
      <c r="D155" s="1">
        <v>3.4704337034866498E-7</v>
      </c>
      <c r="F155">
        <f t="shared" si="6"/>
        <v>-3.48946917622551E-7</v>
      </c>
      <c r="G155">
        <f t="shared" si="7"/>
        <v>-1278076.1297904411</v>
      </c>
      <c r="H155">
        <f t="shared" si="8"/>
        <v>-217006.78956626306</v>
      </c>
    </row>
    <row r="156" spans="1:8" x14ac:dyDescent="0.2">
      <c r="A156">
        <v>292.97953796386702</v>
      </c>
      <c r="B156">
        <v>-19779.5166015625</v>
      </c>
      <c r="C156">
        <v>-3.2960476952022602E-4</v>
      </c>
      <c r="D156" s="1">
        <v>5.5191094760803198E-7</v>
      </c>
      <c r="F156">
        <f t="shared" si="6"/>
        <v>-3.2960476952022601E-7</v>
      </c>
      <c r="G156">
        <f t="shared" si="7"/>
        <v>-1574003.9195534394</v>
      </c>
      <c r="H156">
        <f t="shared" si="8"/>
        <v>-204978.090497653</v>
      </c>
    </row>
    <row r="157" spans="1:8" x14ac:dyDescent="0.2">
      <c r="A157">
        <v>292.97938537597702</v>
      </c>
      <c r="B157">
        <v>-24359.3203125</v>
      </c>
      <c r="C157">
        <v>-3.0080792576503602E-4</v>
      </c>
      <c r="D157" s="1">
        <v>6.3755915096571898E-7</v>
      </c>
      <c r="F157">
        <f t="shared" si="6"/>
        <v>-3.0080792576503602E-7</v>
      </c>
      <c r="G157">
        <f t="shared" si="7"/>
        <v>-1938453.1190465938</v>
      </c>
      <c r="H157">
        <f t="shared" si="8"/>
        <v>-187069.60557527115</v>
      </c>
    </row>
    <row r="158" spans="1:8" x14ac:dyDescent="0.2">
      <c r="A158">
        <v>292.97903442382801</v>
      </c>
      <c r="B158">
        <v>-29999.2705078125</v>
      </c>
      <c r="C158">
        <v>-2.60355760813201E-4</v>
      </c>
      <c r="D158" s="1">
        <v>8.67062471366828E-7</v>
      </c>
      <c r="F158">
        <f t="shared" si="6"/>
        <v>-2.6035576081320098E-7</v>
      </c>
      <c r="G158">
        <f t="shared" si="7"/>
        <v>-2387266.0952346362</v>
      </c>
      <c r="H158">
        <f t="shared" si="8"/>
        <v>-161912.78657537373</v>
      </c>
    </row>
    <row r="159" spans="1:8" x14ac:dyDescent="0.2">
      <c r="A159">
        <v>292.98025512695301</v>
      </c>
      <c r="B159">
        <v>-24359.810546875</v>
      </c>
      <c r="C159">
        <v>-3.0148883188373598E-4</v>
      </c>
      <c r="D159" s="1">
        <v>6.8646308427589095E-7</v>
      </c>
      <c r="F159">
        <f t="shared" si="6"/>
        <v>-3.0148883188373597E-7</v>
      </c>
      <c r="G159">
        <f t="shared" si="7"/>
        <v>-1938492.1306586212</v>
      </c>
      <c r="H159">
        <f t="shared" si="8"/>
        <v>-187493.05465406465</v>
      </c>
    </row>
    <row r="160" spans="1:8" x14ac:dyDescent="0.2">
      <c r="A160">
        <v>292.97930908203102</v>
      </c>
      <c r="B160">
        <v>-19780.052734375</v>
      </c>
      <c r="C160">
        <v>-3.31274389852462E-4</v>
      </c>
      <c r="D160" s="1">
        <v>6.19178848515657E-7</v>
      </c>
      <c r="F160">
        <f t="shared" si="6"/>
        <v>-3.3127438985246202E-7</v>
      </c>
      <c r="G160">
        <f t="shared" si="7"/>
        <v>-1574046.5836470709</v>
      </c>
      <c r="H160">
        <f t="shared" si="8"/>
        <v>-206016.4115997898</v>
      </c>
    </row>
    <row r="161" spans="1:8" x14ac:dyDescent="0.2">
      <c r="A161">
        <v>292.98008728027298</v>
      </c>
      <c r="B161">
        <v>-16061.069824218701</v>
      </c>
      <c r="C161">
        <v>-3.4959352666840099E-4</v>
      </c>
      <c r="D161" s="1">
        <v>5.3065811107505405E-7</v>
      </c>
      <c r="F161">
        <f t="shared" si="6"/>
        <v>-3.4959352666840098E-7</v>
      </c>
      <c r="G161">
        <f t="shared" si="7"/>
        <v>-1278099.3269342424</v>
      </c>
      <c r="H161">
        <f t="shared" si="8"/>
        <v>-217408.90961965235</v>
      </c>
    </row>
    <row r="162" spans="1:8" x14ac:dyDescent="0.2">
      <c r="A162">
        <v>292.98033142089798</v>
      </c>
      <c r="B162">
        <v>-13041.333984375</v>
      </c>
      <c r="C162">
        <v>-3.6159520169772101E-4</v>
      </c>
      <c r="D162" s="1">
        <v>4.4393443461273201E-7</v>
      </c>
      <c r="F162">
        <f t="shared" si="6"/>
        <v>-3.6159520169772101E-7</v>
      </c>
      <c r="G162">
        <f t="shared" si="7"/>
        <v>-1037796.384062802</v>
      </c>
      <c r="H162">
        <f t="shared" si="8"/>
        <v>-224872.63787171704</v>
      </c>
    </row>
    <row r="163" spans="1:8" x14ac:dyDescent="0.2">
      <c r="A163">
        <v>292.98149108886702</v>
      </c>
      <c r="B163">
        <v>-10589.429199218701</v>
      </c>
      <c r="C163">
        <v>-3.6657155953108E-4</v>
      </c>
      <c r="D163" s="1">
        <v>4.69326684582116E-7</v>
      </c>
      <c r="F163">
        <f t="shared" si="6"/>
        <v>-3.6657155953107999E-7</v>
      </c>
      <c r="G163">
        <f t="shared" si="7"/>
        <v>-842680.00078865362</v>
      </c>
      <c r="H163">
        <f t="shared" si="8"/>
        <v>-227967.38776808456</v>
      </c>
    </row>
    <row r="164" spans="1:8" x14ac:dyDescent="0.2">
      <c r="A164">
        <v>292.98197937011702</v>
      </c>
      <c r="B164">
        <v>-8598.46923828125</v>
      </c>
      <c r="C164">
        <v>-3.6662432651696301E-4</v>
      </c>
      <c r="D164" s="1">
        <v>4.00598276939308E-7</v>
      </c>
      <c r="F164">
        <f t="shared" si="6"/>
        <v>-3.6662432651696301E-7</v>
      </c>
      <c r="G164">
        <f t="shared" si="7"/>
        <v>-684244.44114803255</v>
      </c>
      <c r="H164">
        <f t="shared" si="8"/>
        <v>-228000.20305781282</v>
      </c>
    </row>
    <row r="165" spans="1:8" x14ac:dyDescent="0.2">
      <c r="A165">
        <v>292.98170471191401</v>
      </c>
      <c r="B165">
        <v>-6982.1340332031205</v>
      </c>
      <c r="C165">
        <v>-3.62290733383008E-4</v>
      </c>
      <c r="D165" s="1">
        <v>4.8104996375488805E-7</v>
      </c>
      <c r="F165">
        <f t="shared" si="6"/>
        <v>-3.6229073338300798E-7</v>
      </c>
      <c r="G165">
        <f t="shared" si="7"/>
        <v>-555620.57235721417</v>
      </c>
      <c r="H165">
        <f t="shared" si="8"/>
        <v>-225305.18245211939</v>
      </c>
    </row>
    <row r="166" spans="1:8" x14ac:dyDescent="0.2">
      <c r="A166">
        <v>292.98127746582003</v>
      </c>
      <c r="B166">
        <v>-5669.3212890625</v>
      </c>
      <c r="C166">
        <v>-3.5444647914080002E-4</v>
      </c>
      <c r="D166" s="1">
        <v>4.3803203229341398E-7</v>
      </c>
      <c r="F166">
        <f t="shared" si="6"/>
        <v>-3.544464791408E-7</v>
      </c>
      <c r="G166">
        <f t="shared" si="7"/>
        <v>-451150.25356520648</v>
      </c>
      <c r="H166">
        <f t="shared" si="8"/>
        <v>-220426.91488855722</v>
      </c>
    </row>
    <row r="167" spans="1:8" x14ac:dyDescent="0.2">
      <c r="A167">
        <v>292.98187255859398</v>
      </c>
      <c r="B167">
        <v>-4603.3381347656205</v>
      </c>
      <c r="C167">
        <v>-3.4223274295969798E-4</v>
      </c>
      <c r="D167" s="1">
        <v>3.77146181243595E-7</v>
      </c>
      <c r="F167">
        <f t="shared" si="6"/>
        <v>-3.4223274295969797E-7</v>
      </c>
      <c r="G167">
        <f t="shared" si="7"/>
        <v>-366322.00943568698</v>
      </c>
      <c r="H167">
        <f t="shared" si="8"/>
        <v>-212831.30781075745</v>
      </c>
    </row>
    <row r="168" spans="1:8" x14ac:dyDescent="0.2">
      <c r="A168">
        <v>292.98368835449202</v>
      </c>
      <c r="B168">
        <v>-3738.3321533203102</v>
      </c>
      <c r="C168">
        <v>-3.2670938229057903E-4</v>
      </c>
      <c r="D168" s="1">
        <v>3.7221256456720101E-7</v>
      </c>
      <c r="F168">
        <f t="shared" si="6"/>
        <v>-3.2670938229057902E-7</v>
      </c>
      <c r="G168">
        <f t="shared" si="7"/>
        <v>-297487.02056014829</v>
      </c>
      <c r="H168">
        <f t="shared" si="8"/>
        <v>-203177.47654886756</v>
      </c>
    </row>
    <row r="169" spans="1:8" x14ac:dyDescent="0.2">
      <c r="A169">
        <v>292.983154296875</v>
      </c>
      <c r="B169">
        <v>-3035.9603271484398</v>
      </c>
      <c r="C169">
        <v>-3.0929216066064502E-4</v>
      </c>
      <c r="D169" s="1">
        <v>3.8775648370188101E-7</v>
      </c>
      <c r="F169">
        <f t="shared" si="6"/>
        <v>-3.0929216066064503E-7</v>
      </c>
      <c r="G169">
        <f t="shared" si="7"/>
        <v>-241594.04654828095</v>
      </c>
      <c r="H169">
        <f t="shared" si="8"/>
        <v>-192345.87105761506</v>
      </c>
    </row>
    <row r="170" spans="1:8" x14ac:dyDescent="0.2">
      <c r="A170">
        <v>292.98248291015602</v>
      </c>
      <c r="B170">
        <v>-2464.42578125</v>
      </c>
      <c r="C170">
        <v>-2.9070849491402999E-4</v>
      </c>
      <c r="D170" s="1">
        <v>3.4014732040966802E-7</v>
      </c>
      <c r="F170">
        <f t="shared" si="6"/>
        <v>-2.9070849491403E-7</v>
      </c>
      <c r="G170">
        <f t="shared" si="7"/>
        <v>-196112.77248452173</v>
      </c>
      <c r="H170">
        <f t="shared" si="8"/>
        <v>-180788.8649962873</v>
      </c>
    </row>
    <row r="171" spans="1:8" x14ac:dyDescent="0.2">
      <c r="A171">
        <v>292.98338317871099</v>
      </c>
      <c r="B171">
        <v>-2001.3018188476599</v>
      </c>
      <c r="C171">
        <v>-2.7078037995862899E-4</v>
      </c>
      <c r="D171" s="1">
        <v>3.6217223848461702E-7</v>
      </c>
      <c r="F171">
        <f t="shared" si="6"/>
        <v>-2.70780379958629E-7</v>
      </c>
      <c r="G171">
        <f t="shared" si="7"/>
        <v>-159258.53854420298</v>
      </c>
      <c r="H171">
        <f t="shared" si="8"/>
        <v>-168395.75868073944</v>
      </c>
    </row>
    <row r="172" spans="1:8" x14ac:dyDescent="0.2">
      <c r="A172">
        <v>292.98309326171898</v>
      </c>
      <c r="B172">
        <v>-1624.76098632813</v>
      </c>
      <c r="C172">
        <v>-2.5022720422954701E-4</v>
      </c>
      <c r="D172" s="1">
        <v>3.5618952950200498E-7</v>
      </c>
      <c r="F172">
        <f t="shared" si="6"/>
        <v>-2.5022720422954699E-7</v>
      </c>
      <c r="G172">
        <f t="shared" si="7"/>
        <v>-129294.37115849264</v>
      </c>
      <c r="H172">
        <f t="shared" si="8"/>
        <v>-155613.93297857401</v>
      </c>
    </row>
    <row r="173" spans="1:8" x14ac:dyDescent="0.2">
      <c r="A173">
        <v>292.98330688476602</v>
      </c>
      <c r="B173">
        <v>-1319.9038696289099</v>
      </c>
      <c r="C173">
        <v>-2.3054268083891501E-4</v>
      </c>
      <c r="D173" s="1">
        <v>3.0009911648767998E-7</v>
      </c>
      <c r="F173">
        <f t="shared" si="6"/>
        <v>-2.3054268083891502E-7</v>
      </c>
      <c r="G173">
        <f t="shared" si="7"/>
        <v>-105034.61262878081</v>
      </c>
      <c r="H173">
        <f t="shared" si="8"/>
        <v>-143372.31395454914</v>
      </c>
    </row>
    <row r="174" spans="1:8" x14ac:dyDescent="0.2">
      <c r="A174">
        <v>292.98475646972702</v>
      </c>
      <c r="B174">
        <v>-1071.8486328125</v>
      </c>
      <c r="C174">
        <v>-2.11038161360507E-4</v>
      </c>
      <c r="D174" s="1">
        <v>3.0044004626056498E-7</v>
      </c>
      <c r="F174">
        <f t="shared" si="6"/>
        <v>-2.11038161360507E-7</v>
      </c>
      <c r="G174">
        <f t="shared" si="7"/>
        <v>-85295.004079199629</v>
      </c>
      <c r="H174">
        <f t="shared" si="8"/>
        <v>-131242.63766200683</v>
      </c>
    </row>
    <row r="175" spans="1:8" x14ac:dyDescent="0.2">
      <c r="A175">
        <v>292.98501586914102</v>
      </c>
      <c r="B175">
        <v>-870.39013671875</v>
      </c>
      <c r="C175">
        <v>-1.9317329605019699E-4</v>
      </c>
      <c r="D175" s="1">
        <v>2.7919513846305402E-7</v>
      </c>
      <c r="F175">
        <f t="shared" si="6"/>
        <v>-1.9317329605019699E-7</v>
      </c>
      <c r="G175">
        <f t="shared" si="7"/>
        <v>-69263.446338609836</v>
      </c>
      <c r="H175">
        <f t="shared" si="8"/>
        <v>-120132.64679738619</v>
      </c>
    </row>
    <row r="176" spans="1:8" x14ac:dyDescent="0.2">
      <c r="A176">
        <v>292.983154296875</v>
      </c>
      <c r="B176">
        <v>-706.802734375</v>
      </c>
      <c r="C176">
        <v>-1.75768056824416E-4</v>
      </c>
      <c r="D176" s="1">
        <v>2.92902036189633E-7</v>
      </c>
      <c r="F176">
        <f t="shared" si="6"/>
        <v>-1.7576805682441598E-7</v>
      </c>
      <c r="G176">
        <f t="shared" si="7"/>
        <v>-56245.57448332457</v>
      </c>
      <c r="H176">
        <f t="shared" si="8"/>
        <v>-109308.49305000994</v>
      </c>
    </row>
    <row r="177" spans="1:8" x14ac:dyDescent="0.2">
      <c r="A177">
        <v>292.98303222656199</v>
      </c>
      <c r="B177">
        <v>-573.94979858398403</v>
      </c>
      <c r="C177">
        <v>-1.6039758248999301E-4</v>
      </c>
      <c r="D177" s="1">
        <v>3.3364653448456002E-7</v>
      </c>
      <c r="F177">
        <f t="shared" si="6"/>
        <v>-1.6039758248999302E-7</v>
      </c>
      <c r="G177">
        <f t="shared" si="7"/>
        <v>-45673.473765619383</v>
      </c>
      <c r="H177">
        <f t="shared" si="8"/>
        <v>-99749.740354473266</v>
      </c>
    </row>
    <row r="178" spans="1:8" x14ac:dyDescent="0.2">
      <c r="A178">
        <v>292.98600769042997</v>
      </c>
      <c r="B178">
        <v>-466.00221252441401</v>
      </c>
      <c r="C178">
        <v>-1.4584633832473001E-4</v>
      </c>
      <c r="D178" s="1">
        <v>3.62783495663317E-7</v>
      </c>
      <c r="F178">
        <f t="shared" si="6"/>
        <v>-1.4584633832473002E-7</v>
      </c>
      <c r="G178">
        <f t="shared" si="7"/>
        <v>-37083.277807510218</v>
      </c>
      <c r="H178">
        <f t="shared" si="8"/>
        <v>-90700.459157170408</v>
      </c>
    </row>
    <row r="179" spans="1:8" x14ac:dyDescent="0.2">
      <c r="A179">
        <v>292.98573303222702</v>
      </c>
      <c r="B179">
        <v>-378.71987915039102</v>
      </c>
      <c r="C179">
        <v>-1.33365302263052E-4</v>
      </c>
      <c r="D179" s="1">
        <v>3.2017033266605502E-7</v>
      </c>
      <c r="F179">
        <f t="shared" si="6"/>
        <v>-1.33365302263052E-7</v>
      </c>
      <c r="G179">
        <f t="shared" si="7"/>
        <v>-30137.570406974985</v>
      </c>
      <c r="H179">
        <f t="shared" si="8"/>
        <v>-82938.620810355715</v>
      </c>
    </row>
    <row r="180" spans="1:8" x14ac:dyDescent="0.2">
      <c r="A180">
        <v>292.98548889160202</v>
      </c>
      <c r="B180">
        <v>-307.59921264648398</v>
      </c>
      <c r="C180">
        <v>-1.22054668473025E-4</v>
      </c>
      <c r="D180" s="1">
        <v>3.1367270674453201E-7</v>
      </c>
      <c r="F180">
        <f t="shared" si="6"/>
        <v>-1.22054668473025E-7</v>
      </c>
      <c r="G180">
        <f t="shared" si="7"/>
        <v>-24477.967591931483</v>
      </c>
      <c r="H180">
        <f t="shared" si="8"/>
        <v>-75904.644572776742</v>
      </c>
    </row>
    <row r="181" spans="1:8" x14ac:dyDescent="0.2">
      <c r="A181">
        <v>292.98425292968699</v>
      </c>
      <c r="B181">
        <v>-249.66220855712899</v>
      </c>
      <c r="C181">
        <v>-1.12903102386808E-4</v>
      </c>
      <c r="D181" s="1">
        <v>4.1798520181686598E-7</v>
      </c>
      <c r="F181">
        <f t="shared" si="6"/>
        <v>-1.12903102386808E-7</v>
      </c>
      <c r="G181">
        <f t="shared" si="7"/>
        <v>-19867.487297553387</v>
      </c>
      <c r="H181">
        <f t="shared" si="8"/>
        <v>-70213.372131099502</v>
      </c>
    </row>
    <row r="182" spans="1:8" x14ac:dyDescent="0.2">
      <c r="A182">
        <v>292.98394775390602</v>
      </c>
      <c r="B182">
        <v>-202.956657409668</v>
      </c>
      <c r="C182">
        <v>-1.04645758121399E-4</v>
      </c>
      <c r="D182" s="1">
        <v>3.3312787351157897E-7</v>
      </c>
      <c r="F182">
        <f t="shared" si="6"/>
        <v>-1.04645758121399E-7</v>
      </c>
      <c r="G182">
        <f t="shared" si="7"/>
        <v>-16150.777630078504</v>
      </c>
      <c r="H182">
        <f t="shared" si="8"/>
        <v>-65078.207786939682</v>
      </c>
    </row>
    <row r="183" spans="1:8" x14ac:dyDescent="0.2">
      <c r="A183">
        <v>292.98483276367199</v>
      </c>
      <c r="B183">
        <v>-165.05833435058599</v>
      </c>
      <c r="C183" s="1">
        <v>-9.6366462612628304E-5</v>
      </c>
      <c r="D183" s="1">
        <v>3.68118962990276E-7</v>
      </c>
      <c r="F183">
        <f t="shared" si="6"/>
        <v>-9.6366462612628304E-8</v>
      </c>
      <c r="G183">
        <f t="shared" si="7"/>
        <v>-13134.924905205275</v>
      </c>
      <c r="H183">
        <f t="shared" si="8"/>
        <v>-59929.392172032531</v>
      </c>
    </row>
    <row r="184" spans="1:8" x14ac:dyDescent="0.2">
      <c r="A184">
        <v>292.98565673828102</v>
      </c>
      <c r="B184">
        <v>-133.92433166503901</v>
      </c>
      <c r="C184" s="1">
        <v>-9.0610574954448094E-5</v>
      </c>
      <c r="D184" s="1">
        <v>3.5211710644094401E-7</v>
      </c>
      <c r="F184">
        <f t="shared" si="6"/>
        <v>-9.06105749544481E-8</v>
      </c>
      <c r="G184">
        <f t="shared" si="7"/>
        <v>-10657.3596923847</v>
      </c>
      <c r="H184">
        <f t="shared" si="8"/>
        <v>-56349.860046298571</v>
      </c>
    </row>
    <row r="185" spans="1:8" x14ac:dyDescent="0.2">
      <c r="A185">
        <v>292.98551940917997</v>
      </c>
      <c r="B185">
        <v>-109.00079345703099</v>
      </c>
      <c r="C185" s="1">
        <v>-8.5111616133965996E-5</v>
      </c>
      <c r="D185" s="1">
        <v>3.2252522865887502E-7</v>
      </c>
      <c r="F185">
        <f t="shared" si="6"/>
        <v>-8.5111616133966001E-8</v>
      </c>
      <c r="G185">
        <f t="shared" si="7"/>
        <v>-8674.0075398126028</v>
      </c>
      <c r="H185">
        <f t="shared" si="8"/>
        <v>-52930.109536048505</v>
      </c>
    </row>
    <row r="186" spans="1:8" x14ac:dyDescent="0.2">
      <c r="A186">
        <v>292.98466491699202</v>
      </c>
      <c r="B186">
        <v>-88.3809814453125</v>
      </c>
      <c r="C186" s="1">
        <v>-8.0633315642643803E-5</v>
      </c>
      <c r="D186" s="1">
        <v>3.0819929330432702E-7</v>
      </c>
      <c r="F186">
        <f t="shared" si="6"/>
        <v>-8.06333156426438E-8</v>
      </c>
      <c r="G186">
        <f t="shared" si="7"/>
        <v>-7033.1350361672849</v>
      </c>
      <c r="H186">
        <f t="shared" si="8"/>
        <v>-50145.096792688928</v>
      </c>
    </row>
    <row r="187" spans="1:8" x14ac:dyDescent="0.2">
      <c r="A187">
        <v>292.98501586914102</v>
      </c>
      <c r="B187">
        <v>-71.910560607910199</v>
      </c>
      <c r="C187" s="1">
        <v>-7.6379131233675099E-5</v>
      </c>
      <c r="D187" s="1">
        <v>3.2512044150156003E-7</v>
      </c>
      <c r="F187">
        <f t="shared" si="6"/>
        <v>-7.6379131233675106E-8</v>
      </c>
      <c r="G187">
        <f t="shared" si="7"/>
        <v>-5722.460590629119</v>
      </c>
      <c r="H187">
        <f t="shared" si="8"/>
        <v>-47499.459722434767</v>
      </c>
    </row>
    <row r="188" spans="1:8" x14ac:dyDescent="0.2">
      <c r="A188">
        <v>292.98500061035202</v>
      </c>
      <c r="B188">
        <v>-58.372852325439403</v>
      </c>
      <c r="C188" s="1">
        <v>-7.3404282794957499E-5</v>
      </c>
      <c r="D188" s="1">
        <v>2.9969875964076498E-7</v>
      </c>
      <c r="F188">
        <f t="shared" si="6"/>
        <v>-7.3404282794957498E-8</v>
      </c>
      <c r="G188">
        <f t="shared" si="7"/>
        <v>-4645.1639949834598</v>
      </c>
      <c r="H188">
        <f t="shared" si="8"/>
        <v>-45649.429598854163</v>
      </c>
    </row>
    <row r="189" spans="1:8" x14ac:dyDescent="0.2">
      <c r="A189">
        <v>292.98451232910202</v>
      </c>
      <c r="B189">
        <v>-47.631668090820298</v>
      </c>
      <c r="C189" s="1">
        <v>-6.9732724553190506E-5</v>
      </c>
      <c r="D189" s="1">
        <v>3.4245406067436201E-7</v>
      </c>
      <c r="F189">
        <f t="shared" si="6"/>
        <v>-6.9732724553190506E-8</v>
      </c>
      <c r="G189">
        <f t="shared" si="7"/>
        <v>-3790.4077121832761</v>
      </c>
      <c r="H189">
        <f t="shared" si="8"/>
        <v>-43366.122234571209</v>
      </c>
    </row>
    <row r="190" spans="1:8" x14ac:dyDescent="0.2">
      <c r="A190">
        <v>292.98434448242199</v>
      </c>
      <c r="B190">
        <v>-38.661006927490199</v>
      </c>
      <c r="C190" s="1">
        <v>-6.7772990169265605E-5</v>
      </c>
      <c r="D190" s="1">
        <v>3.3690152725803301E-7</v>
      </c>
      <c r="F190">
        <f t="shared" si="6"/>
        <v>-6.7772990169265609E-8</v>
      </c>
      <c r="G190">
        <f t="shared" si="7"/>
        <v>-3076.5451787100369</v>
      </c>
      <c r="H190">
        <f t="shared" si="8"/>
        <v>-42147.381946060705</v>
      </c>
    </row>
    <row r="191" spans="1:8" x14ac:dyDescent="0.2">
      <c r="A191">
        <v>292.98481750488298</v>
      </c>
      <c r="B191">
        <v>-31.5789041519165</v>
      </c>
      <c r="C191" s="1">
        <v>-6.5561255444881195E-5</v>
      </c>
      <c r="D191" s="1">
        <v>3.3376234468415399E-7</v>
      </c>
      <c r="F191">
        <f t="shared" si="6"/>
        <v>-6.5561255444881198E-8</v>
      </c>
      <c r="G191">
        <f t="shared" si="7"/>
        <v>-2512.9693466013441</v>
      </c>
      <c r="H191">
        <f t="shared" si="8"/>
        <v>-40771.925027911195</v>
      </c>
    </row>
    <row r="192" spans="1:8" x14ac:dyDescent="0.2">
      <c r="A192">
        <v>292.98602294921898</v>
      </c>
      <c r="B192">
        <v>-25.631756782531699</v>
      </c>
      <c r="C192" s="1">
        <v>-6.3885000335906503E-5</v>
      </c>
      <c r="D192" s="1">
        <v>3.4272784481402901E-7</v>
      </c>
      <c r="F192">
        <f t="shared" si="6"/>
        <v>-6.3885000335906499E-8</v>
      </c>
      <c r="G192">
        <f t="shared" si="7"/>
        <v>-2039.7103960345673</v>
      </c>
      <c r="H192">
        <f t="shared" si="8"/>
        <v>-39729.477820837375</v>
      </c>
    </row>
    <row r="193" spans="1:8" x14ac:dyDescent="0.2">
      <c r="A193">
        <v>292.98600769042997</v>
      </c>
      <c r="B193">
        <v>-20.964833259582502</v>
      </c>
      <c r="C193" s="1">
        <v>-6.21423364246911E-5</v>
      </c>
      <c r="D193" s="1">
        <v>3.7056406198915101E-7</v>
      </c>
      <c r="F193">
        <f t="shared" si="6"/>
        <v>-6.2142336424691099E-8</v>
      </c>
      <c r="G193">
        <f t="shared" si="7"/>
        <v>-1668.3284221799638</v>
      </c>
      <c r="H193">
        <f t="shared" si="8"/>
        <v>-38645.731607394962</v>
      </c>
    </row>
    <row r="194" spans="1:8" x14ac:dyDescent="0.2">
      <c r="A194">
        <v>292.98571777343801</v>
      </c>
      <c r="B194">
        <v>-17.205872535705598</v>
      </c>
      <c r="C194" s="1">
        <v>-6.0564848105424998E-5</v>
      </c>
      <c r="D194" s="1">
        <v>3.26597590750372E-7</v>
      </c>
      <c r="F194">
        <f t="shared" si="6"/>
        <v>-6.0564848105424994E-8</v>
      </c>
      <c r="G194">
        <f t="shared" si="7"/>
        <v>-1369.1998321333149</v>
      </c>
      <c r="H194">
        <f t="shared" si="8"/>
        <v>-37664.706533224497</v>
      </c>
    </row>
    <row r="195" spans="1:8" x14ac:dyDescent="0.2">
      <c r="A195">
        <v>292.98518371582003</v>
      </c>
      <c r="B195">
        <v>-13.9008927345276</v>
      </c>
      <c r="C195" s="1">
        <v>-5.9099027826132597E-5</v>
      </c>
      <c r="D195" s="1">
        <v>3.4576244303861402E-7</v>
      </c>
      <c r="F195">
        <f t="shared" si="6"/>
        <v>-5.9099027826132599E-8</v>
      </c>
      <c r="G195">
        <f t="shared" si="7"/>
        <v>-1106.1978960451409</v>
      </c>
      <c r="H195">
        <f t="shared" si="8"/>
        <v>-36753.126757545149</v>
      </c>
    </row>
    <row r="196" spans="1:8" x14ac:dyDescent="0.2">
      <c r="A196">
        <v>292.98489379882801</v>
      </c>
      <c r="B196">
        <v>-11.458475589752201</v>
      </c>
      <c r="C196" s="1">
        <v>-5.8222025617878498E-5</v>
      </c>
      <c r="D196" s="1">
        <v>3.50605792070146E-7</v>
      </c>
      <c r="F196">
        <f t="shared" si="6"/>
        <v>-5.8222025617878495E-8</v>
      </c>
      <c r="G196">
        <f t="shared" si="7"/>
        <v>-911.83651520344176</v>
      </c>
      <c r="H196">
        <f t="shared" si="8"/>
        <v>-36207.727374302543</v>
      </c>
    </row>
    <row r="197" spans="1:8" x14ac:dyDescent="0.2">
      <c r="A197">
        <v>292.98666381835898</v>
      </c>
      <c r="B197">
        <v>-9.4337215423584002</v>
      </c>
      <c r="C197" s="1">
        <v>-5.7283825942683699E-5</v>
      </c>
      <c r="D197" s="1">
        <v>3.5157328693121698E-7</v>
      </c>
      <c r="F197">
        <f t="shared" si="6"/>
        <v>-5.7283825942683699E-8</v>
      </c>
      <c r="G197">
        <f t="shared" si="7"/>
        <v>-750.71170760941914</v>
      </c>
      <c r="H197">
        <f t="shared" si="8"/>
        <v>-35624.26986485305</v>
      </c>
    </row>
    <row r="198" spans="1:8" x14ac:dyDescent="0.2">
      <c r="A198">
        <v>292.98536682128901</v>
      </c>
      <c r="B198">
        <v>-7.84478855133057</v>
      </c>
      <c r="C198" s="1">
        <v>-5.6663703044736803E-5</v>
      </c>
      <c r="D198" s="1">
        <v>3.9777412628836599E-7</v>
      </c>
      <c r="F198">
        <f t="shared" si="6"/>
        <v>-5.6663703044736804E-8</v>
      </c>
      <c r="G198">
        <f t="shared" si="7"/>
        <v>-624.26843772748452</v>
      </c>
      <c r="H198">
        <f t="shared" si="8"/>
        <v>-35238.621296478115</v>
      </c>
    </row>
    <row r="199" spans="1:8" x14ac:dyDescent="0.2">
      <c r="A199">
        <v>292.98526000976602</v>
      </c>
      <c r="B199">
        <v>-6.4465274810790998</v>
      </c>
      <c r="C199" s="1">
        <v>-5.6049574957692003E-5</v>
      </c>
      <c r="D199" s="1">
        <v>3.3955184890632099E-7</v>
      </c>
      <c r="F199">
        <f t="shared" si="6"/>
        <v>-5.6049574957692004E-8</v>
      </c>
      <c r="G199">
        <f t="shared" si="7"/>
        <v>-512.99835719574173</v>
      </c>
      <c r="H199">
        <f t="shared" si="8"/>
        <v>-34856.700844335821</v>
      </c>
    </row>
    <row r="200" spans="1:8" x14ac:dyDescent="0.2">
      <c r="A200">
        <v>292.98652648925798</v>
      </c>
      <c r="B200">
        <v>-5.22985887527466</v>
      </c>
      <c r="C200" s="1">
        <v>-5.5048597590617601E-5</v>
      </c>
      <c r="D200" s="1">
        <v>3.2998337280538899E-7</v>
      </c>
      <c r="F200">
        <f t="shared" si="6"/>
        <v>-5.5048597590617598E-8</v>
      </c>
      <c r="G200">
        <f t="shared" si="7"/>
        <v>-416.17894583649115</v>
      </c>
      <c r="H200">
        <f t="shared" si="8"/>
        <v>-34234.202481727363</v>
      </c>
    </row>
    <row r="201" spans="1:8" x14ac:dyDescent="0.2">
      <c r="A201">
        <v>292.98731994628901</v>
      </c>
      <c r="B201">
        <v>-4.5307283401489302</v>
      </c>
      <c r="C201" s="1">
        <v>-5.5234748910272298E-5</v>
      </c>
      <c r="D201" s="1">
        <v>2.6303405473047601E-7</v>
      </c>
      <c r="F201">
        <f t="shared" ref="F201:F257" si="9">C201/1000</f>
        <v>-5.5234748910272298E-8</v>
      </c>
      <c r="G201">
        <f t="shared" ref="G201:G257" si="10">(B201*1000)/(4*PI())</f>
        <v>-360.54390557062021</v>
      </c>
      <c r="H201">
        <f t="shared" ref="H201:H257" si="11">F201/$G$4</f>
        <v>-34349.968227781283</v>
      </c>
    </row>
    <row r="202" spans="1:8" x14ac:dyDescent="0.2">
      <c r="A202">
        <v>292.98733520507801</v>
      </c>
      <c r="B202">
        <v>-3.5682891607284501</v>
      </c>
      <c r="C202" s="1">
        <v>-5.4287307801086001E-5</v>
      </c>
      <c r="D202" s="1">
        <v>3.6407652966721201E-7</v>
      </c>
      <c r="F202">
        <f t="shared" si="9"/>
        <v>-5.4287307801085999E-8</v>
      </c>
      <c r="G202">
        <f t="shared" si="10"/>
        <v>-283.95542915558173</v>
      </c>
      <c r="H202">
        <f t="shared" si="11"/>
        <v>-33760.763557889302</v>
      </c>
    </row>
    <row r="203" spans="1:8" x14ac:dyDescent="0.2">
      <c r="A203">
        <v>292.98722839355497</v>
      </c>
      <c r="B203">
        <v>-3.0689101219177202</v>
      </c>
      <c r="C203" s="1">
        <v>-5.4607863378482898E-5</v>
      </c>
      <c r="D203" s="1">
        <v>2.9358178214475303E-7</v>
      </c>
      <c r="F203">
        <f t="shared" si="9"/>
        <v>-5.4607863378482896E-8</v>
      </c>
      <c r="G203">
        <f t="shared" si="10"/>
        <v>-244.21610790397816</v>
      </c>
      <c r="H203">
        <f t="shared" si="11"/>
        <v>-33960.114041345085</v>
      </c>
    </row>
    <row r="204" spans="1:8" x14ac:dyDescent="0.2">
      <c r="A204">
        <v>292.98648071289102</v>
      </c>
      <c r="B204">
        <v>-2.7965217828750601</v>
      </c>
      <c r="C204" s="1">
        <v>-5.4305506399611402E-5</v>
      </c>
      <c r="D204" s="1">
        <v>3.43499593878602E-7</v>
      </c>
      <c r="F204">
        <f t="shared" si="9"/>
        <v>-5.4305506399611402E-8</v>
      </c>
      <c r="G204">
        <f t="shared" si="10"/>
        <v>-222.54013260436295</v>
      </c>
      <c r="H204">
        <f t="shared" si="11"/>
        <v>-33772.081094285699</v>
      </c>
    </row>
    <row r="205" spans="1:8" x14ac:dyDescent="0.2">
      <c r="A205">
        <v>292.98710632324202</v>
      </c>
      <c r="B205">
        <v>-2.5786110162734999</v>
      </c>
      <c r="C205" s="1">
        <v>-5.3574848438985998E-5</v>
      </c>
      <c r="D205" s="1">
        <v>3.6961316621457E-7</v>
      </c>
      <c r="F205">
        <f t="shared" si="9"/>
        <v>-5.3574848438985995E-8</v>
      </c>
      <c r="G205">
        <f t="shared" si="10"/>
        <v>-205.19934477557163</v>
      </c>
      <c r="H205">
        <f t="shared" si="11"/>
        <v>-33317.6918152898</v>
      </c>
    </row>
    <row r="206" spans="1:8" x14ac:dyDescent="0.2">
      <c r="A206">
        <v>292.98625183105497</v>
      </c>
      <c r="B206">
        <v>-1.90671938657761</v>
      </c>
      <c r="C206" s="1">
        <v>-5.3007725841339503E-5</v>
      </c>
      <c r="D206" s="1">
        <v>3.5135212407763799E-7</v>
      </c>
      <c r="F206">
        <f t="shared" si="9"/>
        <v>-5.3007725841339505E-8</v>
      </c>
      <c r="G206">
        <f t="shared" si="10"/>
        <v>-151.73190773148656</v>
      </c>
      <c r="H206">
        <f t="shared" si="11"/>
        <v>-32965.003632673819</v>
      </c>
    </row>
    <row r="207" spans="1:8" x14ac:dyDescent="0.2">
      <c r="A207">
        <v>292.98596191406301</v>
      </c>
      <c r="B207">
        <v>-1.51629590988159</v>
      </c>
      <c r="C207" s="1">
        <v>-5.2697572785075E-5</v>
      </c>
      <c r="D207" s="1">
        <v>2.8919968522492202E-7</v>
      </c>
      <c r="F207">
        <f t="shared" si="9"/>
        <v>-5.2697572785074998E-8</v>
      </c>
      <c r="G207">
        <f t="shared" si="10"/>
        <v>-120.66299462383905</v>
      </c>
      <c r="H207">
        <f t="shared" si="11"/>
        <v>-32772.122378777982</v>
      </c>
    </row>
    <row r="208" spans="1:8" x14ac:dyDescent="0.2">
      <c r="A208">
        <v>292.98568725585898</v>
      </c>
      <c r="B208">
        <v>0.88072279095649697</v>
      </c>
      <c r="C208" s="1">
        <v>-5.2539685982256797E-5</v>
      </c>
      <c r="D208" s="1">
        <v>3.3745535796518599E-7</v>
      </c>
      <c r="F208">
        <f t="shared" si="9"/>
        <v>-5.2539685982256796E-8</v>
      </c>
      <c r="G208">
        <f t="shared" si="10"/>
        <v>70.085692837208256</v>
      </c>
      <c r="H208">
        <f t="shared" si="11"/>
        <v>-32673.934068567658</v>
      </c>
    </row>
    <row r="209" spans="1:8" x14ac:dyDescent="0.2">
      <c r="A209">
        <v>292.98674011230497</v>
      </c>
      <c r="B209">
        <v>0.90796160697937001</v>
      </c>
      <c r="C209" s="1">
        <v>-5.2146755028069402E-5</v>
      </c>
      <c r="D209" s="1">
        <v>3.4285179039231502E-7</v>
      </c>
      <c r="F209">
        <f t="shared" si="9"/>
        <v>-5.2146755028069403E-8</v>
      </c>
      <c r="G209">
        <f t="shared" si="10"/>
        <v>72.253288944213736</v>
      </c>
      <c r="H209">
        <f t="shared" si="11"/>
        <v>-32429.574022431221</v>
      </c>
    </row>
    <row r="210" spans="1:8" x14ac:dyDescent="0.2">
      <c r="A210">
        <v>292.98539733886702</v>
      </c>
      <c r="B210">
        <v>1.1349520683288601</v>
      </c>
      <c r="C210" s="1">
        <v>-5.2044860293242397E-5</v>
      </c>
      <c r="D210" s="1">
        <v>3.2769868987016702E-7</v>
      </c>
      <c r="F210">
        <f t="shared" si="9"/>
        <v>-5.2044860293242398E-8</v>
      </c>
      <c r="G210">
        <f t="shared" si="10"/>
        <v>90.316615923454322</v>
      </c>
      <c r="H210">
        <f t="shared" si="11"/>
        <v>-32366.206650026368</v>
      </c>
    </row>
    <row r="211" spans="1:8" x14ac:dyDescent="0.2">
      <c r="A211">
        <v>292.98663330078102</v>
      </c>
      <c r="B211">
        <v>1.6252512931823699</v>
      </c>
      <c r="C211" s="1">
        <v>-5.1309013646985099E-5</v>
      </c>
      <c r="D211" s="1">
        <v>3.9814126775478098E-7</v>
      </c>
      <c r="F211">
        <f t="shared" si="9"/>
        <v>-5.13090136469851E-8</v>
      </c>
      <c r="G211">
        <f t="shared" si="10"/>
        <v>129.33338853823469</v>
      </c>
      <c r="H211">
        <f t="shared" si="11"/>
        <v>-31908.590576483271</v>
      </c>
    </row>
    <row r="212" spans="1:8" x14ac:dyDescent="0.2">
      <c r="A212">
        <v>292.98602294921898</v>
      </c>
      <c r="B212">
        <v>2.2517448663711499</v>
      </c>
      <c r="C212" s="1">
        <v>-5.13530788643746E-5</v>
      </c>
      <c r="D212" s="1">
        <v>2.4072760299362099E-7</v>
      </c>
      <c r="F212">
        <f t="shared" si="9"/>
        <v>-5.1353078864374599E-8</v>
      </c>
      <c r="G212">
        <f t="shared" si="10"/>
        <v>179.18816303238393</v>
      </c>
      <c r="H212">
        <f t="shared" si="11"/>
        <v>-31935.994318640918</v>
      </c>
    </row>
    <row r="213" spans="1:8" x14ac:dyDescent="0.2">
      <c r="A213">
        <v>292.98699951171898</v>
      </c>
      <c r="B213">
        <v>2.5786108970642099</v>
      </c>
      <c r="C213" s="1">
        <v>-5.1033020925116902E-5</v>
      </c>
      <c r="D213" s="1">
        <v>3.3671710570874698E-7</v>
      </c>
      <c r="F213">
        <f t="shared" si="9"/>
        <v>-5.1033020925116902E-8</v>
      </c>
      <c r="G213">
        <f t="shared" si="10"/>
        <v>205.19933528919776</v>
      </c>
      <c r="H213">
        <f t="shared" si="11"/>
        <v>-31736.953311639863</v>
      </c>
    </row>
    <row r="214" spans="1:8" x14ac:dyDescent="0.2">
      <c r="A214">
        <v>292.9873046875</v>
      </c>
      <c r="B214">
        <v>3.5682890415191602</v>
      </c>
      <c r="C214" s="1">
        <v>-5.0724651279937198E-5</v>
      </c>
      <c r="D214" s="1">
        <v>2.6667853921754702E-7</v>
      </c>
      <c r="F214">
        <f t="shared" si="9"/>
        <v>-5.07246512799372E-8</v>
      </c>
      <c r="G214">
        <f t="shared" si="10"/>
        <v>283.95541966920786</v>
      </c>
      <c r="H214">
        <f t="shared" si="11"/>
        <v>-31545.181144239552</v>
      </c>
    </row>
    <row r="215" spans="1:8" x14ac:dyDescent="0.2">
      <c r="A215">
        <v>292.98689270019503</v>
      </c>
      <c r="B215">
        <v>4.4399323463439897</v>
      </c>
      <c r="C215" s="1">
        <v>-4.9958697962119597E-5</v>
      </c>
      <c r="D215" s="1">
        <v>3.0984733731620699E-7</v>
      </c>
      <c r="F215">
        <f t="shared" si="9"/>
        <v>-4.9958697962119595E-8</v>
      </c>
      <c r="G215">
        <f t="shared" si="10"/>
        <v>353.3185899571215</v>
      </c>
      <c r="H215">
        <f t="shared" si="11"/>
        <v>-31068.842016243529</v>
      </c>
    </row>
    <row r="216" spans="1:8" x14ac:dyDescent="0.2">
      <c r="A216">
        <v>292.98727416992199</v>
      </c>
      <c r="B216">
        <v>5.74739694595337</v>
      </c>
      <c r="C216" s="1">
        <v>-5.0381235850359097E-5</v>
      </c>
      <c r="D216" s="1">
        <v>3.4387938688452101E-7</v>
      </c>
      <c r="F216">
        <f t="shared" si="9"/>
        <v>-5.0381235850359098E-8</v>
      </c>
      <c r="G216">
        <f t="shared" si="10"/>
        <v>457.36331692987085</v>
      </c>
      <c r="H216">
        <f t="shared" si="11"/>
        <v>-31331.614334800433</v>
      </c>
    </row>
    <row r="217" spans="1:8" x14ac:dyDescent="0.2">
      <c r="A217">
        <v>292.98696899414102</v>
      </c>
      <c r="B217">
        <v>7.0185434818267796</v>
      </c>
      <c r="C217" s="1">
        <v>-4.9742256860401302E-5</v>
      </c>
      <c r="D217" s="1">
        <v>3.11972134828447E-7</v>
      </c>
      <c r="F217">
        <f t="shared" si="9"/>
        <v>-4.9742256860401303E-8</v>
      </c>
      <c r="G217">
        <f t="shared" si="10"/>
        <v>558.51794421906709</v>
      </c>
      <c r="H217">
        <f t="shared" si="11"/>
        <v>-30934.239341045584</v>
      </c>
    </row>
    <row r="218" spans="1:8" x14ac:dyDescent="0.2">
      <c r="A218">
        <v>292.98611450195301</v>
      </c>
      <c r="B218">
        <v>8.6528744697570801</v>
      </c>
      <c r="C218" s="1">
        <v>-4.9853545732443202E-5</v>
      </c>
      <c r="D218" s="1">
        <v>3.2336367287712801E-7</v>
      </c>
      <c r="F218">
        <f t="shared" si="9"/>
        <v>-4.9853545732443202E-8</v>
      </c>
      <c r="G218">
        <f t="shared" si="10"/>
        <v>688.57387190775103</v>
      </c>
      <c r="H218">
        <f t="shared" si="11"/>
        <v>-31003.448838584081</v>
      </c>
    </row>
    <row r="219" spans="1:8" x14ac:dyDescent="0.2">
      <c r="A219">
        <v>292.98793029785202</v>
      </c>
      <c r="B219">
        <v>10.6140713691711</v>
      </c>
      <c r="C219" s="1">
        <v>-4.9195232230639198E-5</v>
      </c>
      <c r="D219" s="1">
        <v>3.2740144668756601E-7</v>
      </c>
      <c r="F219">
        <f t="shared" si="9"/>
        <v>-4.9195232230639196E-8</v>
      </c>
      <c r="G219">
        <f t="shared" si="10"/>
        <v>844.64096236687112</v>
      </c>
      <c r="H219">
        <f t="shared" si="11"/>
        <v>-30594.049894676118</v>
      </c>
    </row>
    <row r="220" spans="1:8" x14ac:dyDescent="0.2">
      <c r="A220">
        <v>292.98736572265602</v>
      </c>
      <c r="B220">
        <v>13.174523353576699</v>
      </c>
      <c r="C220" s="1">
        <v>-4.8536404858539601E-5</v>
      </c>
      <c r="D220" s="1">
        <v>2.9584186644817898E-7</v>
      </c>
      <c r="F220">
        <f t="shared" si="9"/>
        <v>-4.85364048585396E-8</v>
      </c>
      <c r="G220">
        <f t="shared" si="10"/>
        <v>1048.3952573006727</v>
      </c>
      <c r="H220">
        <f t="shared" si="11"/>
        <v>-30184.331379688807</v>
      </c>
    </row>
    <row r="221" spans="1:8" x14ac:dyDescent="0.2">
      <c r="A221">
        <v>292.98764038085898</v>
      </c>
      <c r="B221">
        <v>16.007363796234099</v>
      </c>
      <c r="C221" s="1">
        <v>-4.7847372725616699E-5</v>
      </c>
      <c r="D221" s="1">
        <v>3.9093186299918299E-7</v>
      </c>
      <c r="F221">
        <f t="shared" si="9"/>
        <v>-4.7847372725616701E-8</v>
      </c>
      <c r="G221">
        <f t="shared" si="10"/>
        <v>1273.8255370204517</v>
      </c>
      <c r="H221">
        <f t="shared" si="11"/>
        <v>-29755.828809463121</v>
      </c>
    </row>
    <row r="222" spans="1:8" x14ac:dyDescent="0.2">
      <c r="A222">
        <v>292.98742675781199</v>
      </c>
      <c r="B222">
        <v>20.011474609375</v>
      </c>
      <c r="C222" s="1">
        <v>-4.7339144573183403E-5</v>
      </c>
      <c r="D222" s="1">
        <v>3.5530633741318598E-7</v>
      </c>
      <c r="F222">
        <f t="shared" si="9"/>
        <v>-4.7339144573183401E-8</v>
      </c>
      <c r="G222">
        <f t="shared" si="10"/>
        <v>1592.4625513199933</v>
      </c>
      <c r="H222">
        <f t="shared" si="11"/>
        <v>-29439.766525611569</v>
      </c>
    </row>
    <row r="223" spans="1:8" x14ac:dyDescent="0.2">
      <c r="A223">
        <v>292.98759460449202</v>
      </c>
      <c r="B223">
        <v>24.769192695617701</v>
      </c>
      <c r="C223" s="1">
        <v>-4.7107369040236102E-5</v>
      </c>
      <c r="D223" s="1">
        <v>3.5521885243884199E-7</v>
      </c>
      <c r="F223">
        <f t="shared" si="9"/>
        <v>-4.7107369040236105E-8</v>
      </c>
      <c r="G223">
        <f t="shared" si="10"/>
        <v>1971.0697269516124</v>
      </c>
      <c r="H223">
        <f t="shared" si="11"/>
        <v>-29295.62751258464</v>
      </c>
    </row>
    <row r="224" spans="1:8" x14ac:dyDescent="0.2">
      <c r="A224">
        <v>292.98745727539102</v>
      </c>
      <c r="B224">
        <v>30.7072610855103</v>
      </c>
      <c r="C224" s="1">
        <v>-4.5789893375008199E-5</v>
      </c>
      <c r="D224" s="1">
        <v>3.3288847507200599E-7</v>
      </c>
      <c r="F224">
        <f t="shared" si="9"/>
        <v>-4.5789893375008198E-8</v>
      </c>
      <c r="G224">
        <f t="shared" si="10"/>
        <v>2443.6061952861824</v>
      </c>
      <c r="H224">
        <f t="shared" si="11"/>
        <v>-28476.301850129475</v>
      </c>
    </row>
    <row r="225" spans="1:8" x14ac:dyDescent="0.2">
      <c r="A225">
        <v>292.98634338378901</v>
      </c>
      <c r="B225">
        <v>37.698566436767599</v>
      </c>
      <c r="C225" s="1">
        <v>-4.3942120379788102E-5</v>
      </c>
      <c r="D225" s="1">
        <v>2.9267581559195502E-7</v>
      </c>
      <c r="F225">
        <f t="shared" si="9"/>
        <v>-4.3942120379788102E-8</v>
      </c>
      <c r="G225">
        <f t="shared" si="10"/>
        <v>2999.9565979448917</v>
      </c>
      <c r="H225">
        <f t="shared" si="11"/>
        <v>-27327.189290913</v>
      </c>
    </row>
    <row r="226" spans="1:8" x14ac:dyDescent="0.2">
      <c r="A226">
        <v>292.98681640625</v>
      </c>
      <c r="B226">
        <v>46.632907867431598</v>
      </c>
      <c r="C226" s="1">
        <v>-4.3096218160845002E-5</v>
      </c>
      <c r="D226" s="1">
        <v>3.5392961076307701E-7</v>
      </c>
      <c r="F226">
        <f t="shared" si="9"/>
        <v>-4.3096218160845E-8</v>
      </c>
      <c r="G226">
        <f t="shared" si="10"/>
        <v>3710.9288989253373</v>
      </c>
      <c r="H226">
        <f t="shared" si="11"/>
        <v>-26801.13069704291</v>
      </c>
    </row>
    <row r="227" spans="1:8" x14ac:dyDescent="0.2">
      <c r="A227">
        <v>292.98738098144503</v>
      </c>
      <c r="B227">
        <v>57.546607971191399</v>
      </c>
      <c r="C227" s="1">
        <v>-4.1249112334067603E-5</v>
      </c>
      <c r="D227" s="1">
        <v>2.5871177513222301E-7</v>
      </c>
      <c r="F227">
        <f t="shared" si="9"/>
        <v>-4.1249112334067601E-8</v>
      </c>
      <c r="G227">
        <f t="shared" si="10"/>
        <v>4579.4135583932893</v>
      </c>
      <c r="H227">
        <f t="shared" si="11"/>
        <v>-25652.43304357438</v>
      </c>
    </row>
    <row r="228" spans="1:8" x14ac:dyDescent="0.2">
      <c r="A228">
        <v>292.98773193359398</v>
      </c>
      <c r="B228">
        <v>70.993522644042997</v>
      </c>
      <c r="C228" s="1">
        <v>-3.9219388651085298E-5</v>
      </c>
      <c r="D228" s="1">
        <v>3.56484167791322E-7</v>
      </c>
      <c r="F228">
        <f t="shared" si="9"/>
        <v>-3.9219388651085302E-8</v>
      </c>
      <c r="G228">
        <f t="shared" si="10"/>
        <v>5649.4850281529234</v>
      </c>
      <c r="H228">
        <f t="shared" si="11"/>
        <v>-24390.16707157046</v>
      </c>
    </row>
    <row r="229" spans="1:8" x14ac:dyDescent="0.2">
      <c r="A229">
        <v>292.98715209960898</v>
      </c>
      <c r="B229">
        <v>87.581977844238295</v>
      </c>
      <c r="C229" s="1">
        <v>-3.6340031630261698E-5</v>
      </c>
      <c r="D229" s="1">
        <v>3.9703125431091302E-7</v>
      </c>
      <c r="F229">
        <f t="shared" si="9"/>
        <v>-3.6340031630261698E-8</v>
      </c>
      <c r="G229">
        <f t="shared" si="10"/>
        <v>6969.5523498376924</v>
      </c>
      <c r="H229">
        <f t="shared" si="11"/>
        <v>-22599.522158122945</v>
      </c>
    </row>
    <row r="230" spans="1:8" x14ac:dyDescent="0.2">
      <c r="A230">
        <v>292.98707580566401</v>
      </c>
      <c r="B230">
        <v>108.129150390625</v>
      </c>
      <c r="C230" s="1">
        <v>-3.2906861519046098E-5</v>
      </c>
      <c r="D230" s="1">
        <v>3.2188072070396002E-7</v>
      </c>
      <c r="F230">
        <f t="shared" si="9"/>
        <v>-3.2906861519046097E-8</v>
      </c>
      <c r="G230">
        <f t="shared" si="10"/>
        <v>8604.6443884974578</v>
      </c>
      <c r="H230">
        <f t="shared" si="11"/>
        <v>-20464.46611880976</v>
      </c>
    </row>
    <row r="231" spans="1:8" x14ac:dyDescent="0.2">
      <c r="A231">
        <v>292.98683166503901</v>
      </c>
      <c r="B231">
        <v>133.107177734375</v>
      </c>
      <c r="C231" s="1">
        <v>-2.71050691698497E-5</v>
      </c>
      <c r="D231" s="1">
        <v>3.1890045416582998E-7</v>
      </c>
      <c r="F231">
        <f t="shared" si="9"/>
        <v>-2.7105069169849699E-8</v>
      </c>
      <c r="G231">
        <f t="shared" si="10"/>
        <v>10592.332648718626</v>
      </c>
      <c r="H231">
        <f t="shared" si="11"/>
        <v>-16856.386299657774</v>
      </c>
    </row>
    <row r="232" spans="1:8" x14ac:dyDescent="0.2">
      <c r="A232">
        <v>292.98725891113298</v>
      </c>
      <c r="B232">
        <v>163.93247985839801</v>
      </c>
      <c r="C232" s="1">
        <v>-2.0560649643755599E-5</v>
      </c>
      <c r="D232" s="1">
        <v>3.1184637394623501E-7</v>
      </c>
      <c r="F232">
        <f t="shared" si="9"/>
        <v>-2.05606496437556E-8</v>
      </c>
      <c r="G232">
        <f t="shared" si="10"/>
        <v>13045.332251388307</v>
      </c>
      <c r="H232">
        <f t="shared" si="11"/>
        <v>-12786.47365905199</v>
      </c>
    </row>
    <row r="233" spans="1:8" x14ac:dyDescent="0.2">
      <c r="A233">
        <v>292.98768615722702</v>
      </c>
      <c r="B233">
        <v>202.09410095214801</v>
      </c>
      <c r="C233" s="1">
        <v>-1.06031927581036E-5</v>
      </c>
      <c r="D233" s="1">
        <v>3.1359084866442598E-7</v>
      </c>
      <c r="F233">
        <f t="shared" si="9"/>
        <v>-1.0603192758103601E-8</v>
      </c>
      <c r="G233">
        <f t="shared" si="10"/>
        <v>16082.137568123433</v>
      </c>
      <c r="H233">
        <f t="shared" si="11"/>
        <v>-6594.0253470793532</v>
      </c>
    </row>
    <row r="234" spans="1:8" x14ac:dyDescent="0.2">
      <c r="A234">
        <v>292.98777770996099</v>
      </c>
      <c r="B234">
        <v>248.817794799805</v>
      </c>
      <c r="C234" s="1">
        <v>6.9767676519617696E-7</v>
      </c>
      <c r="D234" s="1">
        <v>2.9342043815108902E-7</v>
      </c>
      <c r="F234">
        <f t="shared" si="9"/>
        <v>6.9767676519617692E-10</v>
      </c>
      <c r="G234">
        <f t="shared" si="10"/>
        <v>19800.290985806929</v>
      </c>
      <c r="H234">
        <f t="shared" si="11"/>
        <v>433.87858532100552</v>
      </c>
    </row>
    <row r="235" spans="1:8" x14ac:dyDescent="0.2">
      <c r="A235">
        <v>292.98768615722702</v>
      </c>
      <c r="B235">
        <v>306.73666381835898</v>
      </c>
      <c r="C235" s="1">
        <v>1.8688144954482301E-5</v>
      </c>
      <c r="D235" s="1">
        <v>3.3427141363431601E-7</v>
      </c>
      <c r="F235">
        <f t="shared" si="9"/>
        <v>1.8688144954482301E-8</v>
      </c>
      <c r="G235">
        <f t="shared" si="10"/>
        <v>24409.328137104378</v>
      </c>
      <c r="H235">
        <f t="shared" si="11"/>
        <v>11621.980693086007</v>
      </c>
    </row>
    <row r="236" spans="1:8" x14ac:dyDescent="0.2">
      <c r="A236">
        <v>292.98814392089798</v>
      </c>
      <c r="B236">
        <v>377.78466796875</v>
      </c>
      <c r="C236" s="1">
        <v>3.8463672653701898E-5</v>
      </c>
      <c r="D236" s="1">
        <v>2.9860828571865698E-7</v>
      </c>
      <c r="F236">
        <f t="shared" si="9"/>
        <v>3.84636726537019E-8</v>
      </c>
      <c r="G236">
        <f t="shared" si="10"/>
        <v>30063.148665778492</v>
      </c>
      <c r="H236">
        <f t="shared" si="11"/>
        <v>23920.194436381778</v>
      </c>
    </row>
    <row r="237" spans="1:8" x14ac:dyDescent="0.2">
      <c r="A237">
        <v>292.98823547363298</v>
      </c>
      <c r="B237">
        <v>465.14874267578102</v>
      </c>
      <c r="C237" s="1">
        <v>6.2313884743463697E-5</v>
      </c>
      <c r="D237" s="1">
        <v>3.0170795875540698E-7</v>
      </c>
      <c r="F237">
        <f t="shared" si="9"/>
        <v>6.2313884743463702E-8</v>
      </c>
      <c r="G237">
        <f t="shared" si="10"/>
        <v>37015.3608349153</v>
      </c>
      <c r="H237">
        <f t="shared" si="11"/>
        <v>38752.415885238617</v>
      </c>
    </row>
    <row r="238" spans="1:8" x14ac:dyDescent="0.2">
      <c r="A238">
        <v>292.98779296875</v>
      </c>
      <c r="B238">
        <v>573.05996704101597</v>
      </c>
      <c r="C238" s="1">
        <v>8.9485243305607203E-5</v>
      </c>
      <c r="D238" s="1">
        <v>3.71159200261566E-7</v>
      </c>
      <c r="F238">
        <f t="shared" si="9"/>
        <v>8.9485243305607203E-8</v>
      </c>
      <c r="G238">
        <f t="shared" si="10"/>
        <v>45602.663221328155</v>
      </c>
      <c r="H238">
        <f t="shared" si="11"/>
        <v>55650.026931347762</v>
      </c>
    </row>
    <row r="239" spans="1:8" x14ac:dyDescent="0.2">
      <c r="A239">
        <v>292.98738098144503</v>
      </c>
      <c r="B239">
        <v>705.85842895507801</v>
      </c>
      <c r="C239">
        <v>1.18090990224405E-4</v>
      </c>
      <c r="D239" s="1">
        <v>3.7126485904360298E-7</v>
      </c>
      <c r="F239">
        <f t="shared" si="9"/>
        <v>1.1809099022440499E-7</v>
      </c>
      <c r="G239">
        <f t="shared" si="10"/>
        <v>56170.429045640049</v>
      </c>
      <c r="H239">
        <f t="shared" si="11"/>
        <v>73439.670537565296</v>
      </c>
    </row>
    <row r="240" spans="1:8" x14ac:dyDescent="0.2">
      <c r="A240">
        <v>292.988037109375</v>
      </c>
      <c r="B240">
        <v>869.51852416992199</v>
      </c>
      <c r="C240">
        <v>1.4766256788557199E-4</v>
      </c>
      <c r="D240" s="1">
        <v>3.0745174761717902E-7</v>
      </c>
      <c r="F240">
        <f t="shared" si="9"/>
        <v>1.47662567885572E-7</v>
      </c>
      <c r="G240">
        <f t="shared" si="10"/>
        <v>69194.085615806383</v>
      </c>
      <c r="H240">
        <f t="shared" si="11"/>
        <v>91829.955152718903</v>
      </c>
    </row>
    <row r="241" spans="1:8" x14ac:dyDescent="0.2">
      <c r="A241">
        <v>292.98759460449202</v>
      </c>
      <c r="B241">
        <v>1071.16772460938</v>
      </c>
      <c r="C241">
        <v>1.7560496607319499E-4</v>
      </c>
      <c r="D241" s="1">
        <v>2.44999073720048E-7</v>
      </c>
      <c r="F241">
        <f t="shared" si="9"/>
        <v>1.7560496607319497E-7</v>
      </c>
      <c r="G241">
        <f t="shared" si="10"/>
        <v>85240.819126040442</v>
      </c>
      <c r="H241">
        <f t="shared" si="11"/>
        <v>109207.06845347946</v>
      </c>
    </row>
    <row r="242" spans="1:8" x14ac:dyDescent="0.2">
      <c r="A242">
        <v>292.98905944824202</v>
      </c>
      <c r="B242">
        <v>1318.87780761719</v>
      </c>
      <c r="C242">
        <v>2.0292911202510701E-4</v>
      </c>
      <c r="D242" s="1">
        <v>3.3571086592181902E-7</v>
      </c>
      <c r="F242">
        <f t="shared" si="9"/>
        <v>2.0292911202510702E-7</v>
      </c>
      <c r="G242">
        <f t="shared" si="10"/>
        <v>104952.96120823879</v>
      </c>
      <c r="H242">
        <f t="shared" si="11"/>
        <v>126199.69653302676</v>
      </c>
    </row>
    <row r="243" spans="1:8" x14ac:dyDescent="0.2">
      <c r="A243">
        <v>292.98817443847702</v>
      </c>
      <c r="B243">
        <v>1624.40686035156</v>
      </c>
      <c r="C243">
        <v>2.28695003044654E-4</v>
      </c>
      <c r="D243" s="1">
        <v>3.5680654214548901E-7</v>
      </c>
      <c r="F243">
        <f t="shared" si="9"/>
        <v>2.28695003044654E-7</v>
      </c>
      <c r="G243">
        <f t="shared" si="10"/>
        <v>129266.19070866845</v>
      </c>
      <c r="H243">
        <f t="shared" si="11"/>
        <v>142223.2605999092</v>
      </c>
    </row>
    <row r="244" spans="1:8" x14ac:dyDescent="0.2">
      <c r="A244">
        <v>292.98876953125</v>
      </c>
      <c r="B244">
        <v>2000.6661987304699</v>
      </c>
      <c r="C244">
        <v>2.5430732560885802E-4</v>
      </c>
      <c r="D244" s="1">
        <v>2.7334086151028598E-7</v>
      </c>
      <c r="F244">
        <f t="shared" si="9"/>
        <v>2.5430732560885802E-7</v>
      </c>
      <c r="G244">
        <f t="shared" si="10"/>
        <v>159207.95750241325</v>
      </c>
      <c r="H244">
        <f t="shared" si="11"/>
        <v>158151.32189605598</v>
      </c>
    </row>
    <row r="245" spans="1:8" x14ac:dyDescent="0.2">
      <c r="A245">
        <v>292.98880004882801</v>
      </c>
      <c r="B245">
        <v>2464.17138671875</v>
      </c>
      <c r="C245">
        <v>2.7787450002532697E-4</v>
      </c>
      <c r="D245" s="1">
        <v>3.3054595001035601E-7</v>
      </c>
      <c r="F245">
        <f t="shared" si="9"/>
        <v>2.7787450002532698E-7</v>
      </c>
      <c r="G245">
        <f t="shared" si="10"/>
        <v>196092.52841094974</v>
      </c>
      <c r="H245">
        <f t="shared" si="11"/>
        <v>172807.52489137251</v>
      </c>
    </row>
    <row r="246" spans="1:8" x14ac:dyDescent="0.2">
      <c r="A246">
        <v>292.98857116699202</v>
      </c>
      <c r="B246">
        <v>3034.9888916015602</v>
      </c>
      <c r="C246">
        <v>2.9933952488312002E-4</v>
      </c>
      <c r="D246" s="1">
        <v>3.4105560015063299E-7</v>
      </c>
      <c r="F246">
        <f t="shared" si="9"/>
        <v>2.9933952488311999E-7</v>
      </c>
      <c r="G246">
        <f t="shared" si="10"/>
        <v>241516.74216369042</v>
      </c>
      <c r="H246">
        <f t="shared" si="11"/>
        <v>186156.42094721392</v>
      </c>
    </row>
    <row r="247" spans="1:8" x14ac:dyDescent="0.2">
      <c r="A247">
        <v>292.98924255371099</v>
      </c>
      <c r="B247">
        <v>3737.8145751953102</v>
      </c>
      <c r="C247">
        <v>3.1888643972022702E-4</v>
      </c>
      <c r="D247" s="1">
        <v>3.19392968661837E-7</v>
      </c>
      <c r="F247">
        <f t="shared" si="9"/>
        <v>3.18886439720227E-7</v>
      </c>
      <c r="G247">
        <f t="shared" si="10"/>
        <v>297445.83300163329</v>
      </c>
      <c r="H247">
        <f t="shared" si="11"/>
        <v>198312.46251257899</v>
      </c>
    </row>
    <row r="248" spans="1:8" x14ac:dyDescent="0.2">
      <c r="A248">
        <v>292.98866271972702</v>
      </c>
      <c r="B248">
        <v>4603.0109863281205</v>
      </c>
      <c r="C248">
        <v>3.3579011541993298E-4</v>
      </c>
      <c r="D248" s="1">
        <v>3.2806148323105001E-7</v>
      </c>
      <c r="F248">
        <f t="shared" si="9"/>
        <v>3.3579011541993295E-7</v>
      </c>
      <c r="G248">
        <f t="shared" si="10"/>
        <v>366295.97579021053</v>
      </c>
      <c r="H248">
        <f t="shared" si="11"/>
        <v>208824.69864423692</v>
      </c>
    </row>
    <row r="249" spans="1:8" x14ac:dyDescent="0.2">
      <c r="A249">
        <v>292.98954772949202</v>
      </c>
      <c r="B249">
        <v>5669.78466796875</v>
      </c>
      <c r="C249">
        <v>3.4920448397663301E-4</v>
      </c>
      <c r="D249" s="1">
        <v>3.1015328330573602E-7</v>
      </c>
      <c r="F249">
        <f t="shared" si="9"/>
        <v>3.49204483976633E-7</v>
      </c>
      <c r="G249">
        <f t="shared" si="10"/>
        <v>451187.12808693358</v>
      </c>
      <c r="H249">
        <f t="shared" si="11"/>
        <v>217166.96764715982</v>
      </c>
    </row>
    <row r="250" spans="1:8" x14ac:dyDescent="0.2">
      <c r="A250">
        <v>292.98979187011702</v>
      </c>
      <c r="B250">
        <v>6981.8525390625</v>
      </c>
      <c r="C250">
        <v>3.5774952010382902E-4</v>
      </c>
      <c r="D250" s="1">
        <v>2.61502986576432E-7</v>
      </c>
      <c r="F250">
        <f t="shared" si="9"/>
        <v>3.5774952010382902E-7</v>
      </c>
      <c r="G250">
        <f t="shared" si="10"/>
        <v>555598.17176524864</v>
      </c>
      <c r="H250">
        <f t="shared" si="11"/>
        <v>222481.04484068969</v>
      </c>
    </row>
    <row r="251" spans="1:8" x14ac:dyDescent="0.2">
      <c r="A251">
        <v>292.99072265625</v>
      </c>
      <c r="B251">
        <v>8599.23193359375</v>
      </c>
      <c r="C251">
        <v>3.6394056201121701E-4</v>
      </c>
      <c r="D251" s="1">
        <v>3.42518571256486E-7</v>
      </c>
      <c r="F251">
        <f t="shared" si="9"/>
        <v>3.6394056201121703E-7</v>
      </c>
      <c r="G251">
        <f t="shared" si="10"/>
        <v>684305.13451256126</v>
      </c>
      <c r="H251">
        <f t="shared" si="11"/>
        <v>226331.19528060762</v>
      </c>
    </row>
    <row r="252" spans="1:8" x14ac:dyDescent="0.2">
      <c r="A252">
        <v>292.99053955078102</v>
      </c>
      <c r="B252">
        <v>10589.51953125</v>
      </c>
      <c r="C252">
        <v>3.6378747963834902E-4</v>
      </c>
      <c r="D252" s="1">
        <v>3.5274857805861501E-7</v>
      </c>
      <c r="F252">
        <f t="shared" si="9"/>
        <v>3.6378747963834903E-7</v>
      </c>
      <c r="G252">
        <f t="shared" si="10"/>
        <v>842687.18918330397</v>
      </c>
      <c r="H252">
        <f t="shared" si="11"/>
        <v>226235.99479996829</v>
      </c>
    </row>
    <row r="253" spans="1:8" x14ac:dyDescent="0.2">
      <c r="A253">
        <v>292.98982238769503</v>
      </c>
      <c r="B253">
        <v>13040.98046875</v>
      </c>
      <c r="C253">
        <v>3.5852286843791398E-4</v>
      </c>
      <c r="D253" s="1">
        <v>3.89187773154445E-7</v>
      </c>
      <c r="F253">
        <f t="shared" si="9"/>
        <v>3.5852286843791401E-7</v>
      </c>
      <c r="G253">
        <f t="shared" si="10"/>
        <v>1037768.2521832124</v>
      </c>
      <c r="H253">
        <f t="shared" si="11"/>
        <v>222961.98285939926</v>
      </c>
    </row>
    <row r="254" spans="1:8" x14ac:dyDescent="0.2">
      <c r="A254">
        <v>292.99095153808599</v>
      </c>
      <c r="B254">
        <v>16060.751464843799</v>
      </c>
      <c r="C254">
        <v>3.47776949954166E-4</v>
      </c>
      <c r="D254" s="1">
        <v>5.1904658501618302E-7</v>
      </c>
      <c r="F254">
        <f t="shared" si="9"/>
        <v>3.47776949954166E-7</v>
      </c>
      <c r="G254">
        <f t="shared" si="10"/>
        <v>1278073.9927001446</v>
      </c>
      <c r="H254">
        <f t="shared" si="11"/>
        <v>216279.19773269029</v>
      </c>
    </row>
    <row r="255" spans="1:8" x14ac:dyDescent="0.2">
      <c r="A255">
        <v>292.99084472656199</v>
      </c>
      <c r="B255">
        <v>19779.3798828125</v>
      </c>
      <c r="C255">
        <v>3.2831325043221999E-4</v>
      </c>
      <c r="D255" s="1">
        <v>4.32358589278294E-7</v>
      </c>
      <c r="F255">
        <f t="shared" si="9"/>
        <v>3.2831325043221999E-7</v>
      </c>
      <c r="G255">
        <f t="shared" si="10"/>
        <v>1573993.0398210015</v>
      </c>
      <c r="H255">
        <f t="shared" si="11"/>
        <v>204174.90698521145</v>
      </c>
    </row>
    <row r="256" spans="1:8" x14ac:dyDescent="0.2">
      <c r="A256">
        <v>292.99133300781199</v>
      </c>
      <c r="B256">
        <v>24359.583984375</v>
      </c>
      <c r="C256">
        <v>3.0069170083103498E-4</v>
      </c>
      <c r="D256" s="1">
        <v>5.5564646101624302E-7</v>
      </c>
      <c r="F256">
        <f t="shared" si="9"/>
        <v>3.0069170083103498E-7</v>
      </c>
      <c r="G256">
        <f t="shared" si="10"/>
        <v>1938474.101387724</v>
      </c>
      <c r="H256">
        <f t="shared" si="11"/>
        <v>186997.32638745956</v>
      </c>
    </row>
    <row r="257" spans="1:8" x14ac:dyDescent="0.2">
      <c r="A257">
        <v>292.99278259277298</v>
      </c>
      <c r="B257">
        <v>29999.6513671875</v>
      </c>
      <c r="C257">
        <v>2.5984684506525903E-4</v>
      </c>
      <c r="D257" s="1">
        <v>7.7678747729310698E-7</v>
      </c>
      <c r="F257">
        <f t="shared" si="9"/>
        <v>2.5984684506525905E-7</v>
      </c>
      <c r="G257">
        <f t="shared" si="10"/>
        <v>2387296.4030607133</v>
      </c>
      <c r="H257">
        <f t="shared" si="11"/>
        <v>161596.29668237502</v>
      </c>
    </row>
    <row r="258" spans="1:8" x14ac:dyDescent="0.2">
      <c r="D258" s="1"/>
    </row>
    <row r="259" spans="1:8" x14ac:dyDescent="0.2">
      <c r="D259" s="1"/>
    </row>
    <row r="260" spans="1:8" x14ac:dyDescent="0.2">
      <c r="D260" s="1"/>
    </row>
    <row r="261" spans="1:8" x14ac:dyDescent="0.2">
      <c r="D261" s="1"/>
    </row>
    <row r="262" spans="1:8" x14ac:dyDescent="0.2">
      <c r="D262" s="1"/>
    </row>
    <row r="263" spans="1:8" x14ac:dyDescent="0.2">
      <c r="D263" s="1"/>
    </row>
    <row r="264" spans="1:8" x14ac:dyDescent="0.2">
      <c r="D264" s="1"/>
    </row>
    <row r="265" spans="1:8" x14ac:dyDescent="0.2">
      <c r="D265" s="1"/>
    </row>
    <row r="266" spans="1:8" x14ac:dyDescent="0.2">
      <c r="D266" s="1"/>
    </row>
    <row r="267" spans="1:8" x14ac:dyDescent="0.2">
      <c r="D267" s="1"/>
    </row>
    <row r="268" spans="1:8" x14ac:dyDescent="0.2">
      <c r="D268" s="1"/>
    </row>
    <row r="269" spans="1:8" x14ac:dyDescent="0.2">
      <c r="D269" s="1"/>
    </row>
    <row r="270" spans="1:8" x14ac:dyDescent="0.2">
      <c r="D270" s="1"/>
    </row>
    <row r="271" spans="1:8" x14ac:dyDescent="0.2">
      <c r="D271" s="1"/>
    </row>
    <row r="272" spans="1:8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  <row r="428" spans="4:4" x14ac:dyDescent="0.2">
      <c r="D428" s="1"/>
    </row>
    <row r="429" spans="4:4" x14ac:dyDescent="0.2">
      <c r="D429" s="1"/>
    </row>
    <row r="430" spans="4:4" x14ac:dyDescent="0.2">
      <c r="D430" s="1"/>
    </row>
    <row r="431" spans="4:4" x14ac:dyDescent="0.2">
      <c r="D431" s="1"/>
    </row>
    <row r="432" spans="4:4" x14ac:dyDescent="0.2">
      <c r="D432" s="1"/>
    </row>
    <row r="433" spans="4:4" x14ac:dyDescent="0.2">
      <c r="D433" s="1"/>
    </row>
    <row r="434" spans="4:4" x14ac:dyDescent="0.2">
      <c r="D434" s="1"/>
    </row>
    <row r="435" spans="4:4" x14ac:dyDescent="0.2">
      <c r="D435" s="1"/>
    </row>
    <row r="436" spans="4:4" x14ac:dyDescent="0.2">
      <c r="D436" s="1"/>
    </row>
    <row r="437" spans="4:4" x14ac:dyDescent="0.2">
      <c r="D437" s="1"/>
    </row>
    <row r="438" spans="4:4" x14ac:dyDescent="0.2">
      <c r="D438" s="1"/>
    </row>
    <row r="439" spans="4:4" x14ac:dyDescent="0.2">
      <c r="D439" s="1"/>
    </row>
    <row r="440" spans="4:4" x14ac:dyDescent="0.2">
      <c r="D440" s="1"/>
    </row>
    <row r="441" spans="4:4" x14ac:dyDescent="0.2">
      <c r="D441" s="1"/>
    </row>
    <row r="442" spans="4:4" x14ac:dyDescent="0.2">
      <c r="D442" s="1"/>
    </row>
    <row r="443" spans="4:4" x14ac:dyDescent="0.2">
      <c r="D443" s="1"/>
    </row>
    <row r="444" spans="4:4" x14ac:dyDescent="0.2">
      <c r="D444" s="1"/>
    </row>
    <row r="445" spans="4:4" x14ac:dyDescent="0.2">
      <c r="D445" s="1"/>
    </row>
    <row r="446" spans="4:4" x14ac:dyDescent="0.2">
      <c r="D446" s="1"/>
    </row>
    <row r="447" spans="4:4" x14ac:dyDescent="0.2">
      <c r="D447" s="1"/>
    </row>
    <row r="448" spans="4:4" x14ac:dyDescent="0.2">
      <c r="D448" s="1"/>
    </row>
    <row r="449" spans="4:4" x14ac:dyDescent="0.2">
      <c r="D449" s="1"/>
    </row>
    <row r="450" spans="4:4" x14ac:dyDescent="0.2">
      <c r="D450" s="1"/>
    </row>
    <row r="451" spans="4:4" x14ac:dyDescent="0.2">
      <c r="D451" s="1"/>
    </row>
    <row r="452" spans="4:4" x14ac:dyDescent="0.2">
      <c r="D452" s="1"/>
    </row>
    <row r="453" spans="4:4" x14ac:dyDescent="0.2">
      <c r="D453" s="1"/>
    </row>
    <row r="454" spans="4:4" x14ac:dyDescent="0.2">
      <c r="D454" s="1"/>
    </row>
    <row r="455" spans="4:4" x14ac:dyDescent="0.2">
      <c r="D455" s="1"/>
    </row>
    <row r="456" spans="4:4" x14ac:dyDescent="0.2">
      <c r="D456" s="1"/>
    </row>
    <row r="457" spans="4:4" x14ac:dyDescent="0.2">
      <c r="D457" s="1"/>
    </row>
    <row r="458" spans="4:4" x14ac:dyDescent="0.2">
      <c r="D458" s="1"/>
    </row>
    <row r="459" spans="4:4" x14ac:dyDescent="0.2">
      <c r="D459" s="1"/>
    </row>
    <row r="460" spans="4:4" x14ac:dyDescent="0.2">
      <c r="D460" s="1"/>
    </row>
    <row r="461" spans="4:4" x14ac:dyDescent="0.2">
      <c r="D461" s="1"/>
    </row>
    <row r="462" spans="4:4" x14ac:dyDescent="0.2">
      <c r="D462" s="1"/>
    </row>
    <row r="463" spans="4:4" x14ac:dyDescent="0.2">
      <c r="D463" s="1"/>
    </row>
    <row r="464" spans="4:4" x14ac:dyDescent="0.2">
      <c r="D464" s="1"/>
    </row>
    <row r="465" spans="4:4" x14ac:dyDescent="0.2">
      <c r="D465" s="1"/>
    </row>
    <row r="466" spans="4:4" x14ac:dyDescent="0.2">
      <c r="D466" s="1"/>
    </row>
    <row r="467" spans="4:4" x14ac:dyDescent="0.2">
      <c r="D467" s="1"/>
    </row>
    <row r="468" spans="4:4" x14ac:dyDescent="0.2">
      <c r="D468" s="1"/>
    </row>
    <row r="469" spans="4:4" x14ac:dyDescent="0.2">
      <c r="D469" s="1"/>
    </row>
    <row r="470" spans="4:4" x14ac:dyDescent="0.2">
      <c r="D470" s="1"/>
    </row>
    <row r="471" spans="4:4" x14ac:dyDescent="0.2">
      <c r="D471" s="1"/>
    </row>
    <row r="472" spans="4:4" x14ac:dyDescent="0.2">
      <c r="D472" s="1"/>
    </row>
    <row r="473" spans="4:4" x14ac:dyDescent="0.2">
      <c r="D473" s="1"/>
    </row>
    <row r="474" spans="4:4" x14ac:dyDescent="0.2">
      <c r="D474" s="1"/>
    </row>
    <row r="475" spans="4:4" x14ac:dyDescent="0.2">
      <c r="D475" s="1"/>
    </row>
    <row r="476" spans="4:4" x14ac:dyDescent="0.2">
      <c r="D476" s="1"/>
    </row>
    <row r="477" spans="4:4" x14ac:dyDescent="0.2">
      <c r="D477" s="1"/>
    </row>
    <row r="478" spans="4:4" x14ac:dyDescent="0.2">
      <c r="D478" s="1"/>
    </row>
    <row r="479" spans="4:4" x14ac:dyDescent="0.2">
      <c r="D479" s="1"/>
    </row>
    <row r="480" spans="4:4" x14ac:dyDescent="0.2">
      <c r="D480" s="1"/>
    </row>
    <row r="482" spans="4:4" x14ac:dyDescent="0.2">
      <c r="D482" s="1"/>
    </row>
    <row r="483" spans="4:4" x14ac:dyDescent="0.2">
      <c r="D483" s="1"/>
    </row>
    <row r="484" spans="4:4" x14ac:dyDescent="0.2">
      <c r="D484" s="1"/>
    </row>
    <row r="485" spans="4:4" x14ac:dyDescent="0.2">
      <c r="D485" s="1"/>
    </row>
    <row r="486" spans="4:4" x14ac:dyDescent="0.2">
      <c r="D486" s="1"/>
    </row>
    <row r="487" spans="4:4" x14ac:dyDescent="0.2">
      <c r="D487" s="1"/>
    </row>
    <row r="488" spans="4:4" x14ac:dyDescent="0.2">
      <c r="D488" s="1"/>
    </row>
    <row r="489" spans="4:4" x14ac:dyDescent="0.2">
      <c r="D489" s="1"/>
    </row>
    <row r="490" spans="4:4" x14ac:dyDescent="0.2">
      <c r="D490" s="1"/>
    </row>
    <row r="491" spans="4:4" x14ac:dyDescent="0.2">
      <c r="D491" s="1"/>
    </row>
    <row r="492" spans="4:4" x14ac:dyDescent="0.2">
      <c r="D492" s="1"/>
    </row>
    <row r="493" spans="4:4" x14ac:dyDescent="0.2">
      <c r="D493" s="1"/>
    </row>
    <row r="494" spans="4:4" x14ac:dyDescent="0.2">
      <c r="D494" s="1"/>
    </row>
    <row r="497" spans="4:4" x14ac:dyDescent="0.2">
      <c r="D497" s="1"/>
    </row>
    <row r="499" spans="4:4" x14ac:dyDescent="0.2">
      <c r="D499" s="1"/>
    </row>
    <row r="500" spans="4:4" x14ac:dyDescent="0.2">
      <c r="D500" s="1"/>
    </row>
    <row r="501" spans="4:4" x14ac:dyDescent="0.2">
      <c r="D501" s="1"/>
    </row>
    <row r="503" spans="4:4" x14ac:dyDescent="0.2">
      <c r="D503" s="1"/>
    </row>
    <row r="504" spans="4:4" x14ac:dyDescent="0.2">
      <c r="D504" s="1"/>
    </row>
    <row r="506" spans="4:4" x14ac:dyDescent="0.2">
      <c r="D506" s="1"/>
    </row>
    <row r="507" spans="4:4" x14ac:dyDescent="0.2">
      <c r="D507" s="1"/>
    </row>
    <row r="508" spans="4:4" x14ac:dyDescent="0.2">
      <c r="D508" s="1"/>
    </row>
    <row r="510" spans="4:4" x14ac:dyDescent="0.2">
      <c r="D510" s="1"/>
    </row>
    <row r="511" spans="4:4" x14ac:dyDescent="0.2">
      <c r="D511" s="1"/>
    </row>
    <row r="512" spans="4:4" x14ac:dyDescent="0.2">
      <c r="D512" s="1"/>
    </row>
    <row r="513" spans="4:4" x14ac:dyDescent="0.2">
      <c r="D513" s="1"/>
    </row>
    <row r="516" spans="4:4" x14ac:dyDescent="0.2">
      <c r="D516" s="1"/>
    </row>
    <row r="517" spans="4:4" x14ac:dyDescent="0.2">
      <c r="D517" s="1"/>
    </row>
    <row r="519" spans="4:4" x14ac:dyDescent="0.2">
      <c r="D519" s="1"/>
    </row>
    <row r="520" spans="4:4" x14ac:dyDescent="0.2">
      <c r="D520" s="1"/>
    </row>
    <row r="522" spans="4:4" x14ac:dyDescent="0.2">
      <c r="D522" s="1"/>
    </row>
    <row r="523" spans="4:4" x14ac:dyDescent="0.2">
      <c r="D523" s="1"/>
    </row>
    <row r="524" spans="4:4" x14ac:dyDescent="0.2">
      <c r="D524" s="1"/>
    </row>
    <row r="526" spans="4:4" x14ac:dyDescent="0.2">
      <c r="D526" s="1"/>
    </row>
    <row r="527" spans="4:4" x14ac:dyDescent="0.2">
      <c r="D527" s="1"/>
    </row>
    <row r="529" spans="4:4" x14ac:dyDescent="0.2">
      <c r="D529" s="1"/>
    </row>
    <row r="530" spans="4:4" x14ac:dyDescent="0.2">
      <c r="D530" s="1"/>
    </row>
    <row r="542" spans="4:4" x14ac:dyDescent="0.2">
      <c r="D542" s="1"/>
    </row>
    <row r="560" spans="4:4" x14ac:dyDescent="0.2">
      <c r="D560" s="1"/>
    </row>
    <row r="728" spans="4:4" x14ac:dyDescent="0.2">
      <c r="D728" s="1"/>
    </row>
    <row r="732" spans="4:4" x14ac:dyDescent="0.2">
      <c r="D732" s="1"/>
    </row>
    <row r="745" spans="4:4" x14ac:dyDescent="0.2">
      <c r="D745" s="1"/>
    </row>
    <row r="749" spans="4:4" x14ac:dyDescent="0.2">
      <c r="D749" s="1"/>
    </row>
    <row r="759" spans="4:4" x14ac:dyDescent="0.2">
      <c r="D759" s="1"/>
    </row>
    <row r="770" spans="4:4" x14ac:dyDescent="0.2">
      <c r="D770" s="1"/>
    </row>
    <row r="771" spans="4:4" x14ac:dyDescent="0.2">
      <c r="D771" s="1"/>
    </row>
    <row r="772" spans="4:4" x14ac:dyDescent="0.2">
      <c r="D772" s="1"/>
    </row>
    <row r="773" spans="4:4" x14ac:dyDescent="0.2">
      <c r="D773" s="1"/>
    </row>
    <row r="775" spans="4:4" x14ac:dyDescent="0.2">
      <c r="D775" s="1"/>
    </row>
    <row r="776" spans="4:4" x14ac:dyDescent="0.2">
      <c r="D776" s="1"/>
    </row>
    <row r="777" spans="4:4" x14ac:dyDescent="0.2">
      <c r="D777" s="1"/>
    </row>
    <row r="779" spans="4:4" x14ac:dyDescent="0.2">
      <c r="D779" s="1"/>
    </row>
    <row r="780" spans="4:4" x14ac:dyDescent="0.2">
      <c r="D780" s="1"/>
    </row>
    <row r="781" spans="4:4" x14ac:dyDescent="0.2">
      <c r="D781" s="1"/>
    </row>
    <row r="782" spans="4:4" x14ac:dyDescent="0.2">
      <c r="D782" s="1"/>
    </row>
    <row r="783" spans="4:4" x14ac:dyDescent="0.2">
      <c r="D783" s="1"/>
    </row>
    <row r="784" spans="4:4" x14ac:dyDescent="0.2">
      <c r="D784" s="1"/>
    </row>
    <row r="785" spans="4:4" x14ac:dyDescent="0.2">
      <c r="D785" s="1"/>
    </row>
    <row r="786" spans="4:4" x14ac:dyDescent="0.2">
      <c r="D786" s="1"/>
    </row>
    <row r="787" spans="4:4" x14ac:dyDescent="0.2">
      <c r="D787" s="1"/>
    </row>
    <row r="789" spans="4:4" x14ac:dyDescent="0.2">
      <c r="D789" s="1"/>
    </row>
    <row r="790" spans="4:4" x14ac:dyDescent="0.2">
      <c r="D790" s="1"/>
    </row>
    <row r="791" spans="4:4" x14ac:dyDescent="0.2">
      <c r="D791" s="1"/>
    </row>
    <row r="793" spans="4:4" x14ac:dyDescent="0.2">
      <c r="D793" s="1"/>
    </row>
    <row r="796" spans="4:4" x14ac:dyDescent="0.2">
      <c r="D796" s="1"/>
    </row>
    <row r="797" spans="4:4" x14ac:dyDescent="0.2">
      <c r="D797" s="1"/>
    </row>
    <row r="799" spans="4:4" x14ac:dyDescent="0.2">
      <c r="D799" s="1"/>
    </row>
    <row r="800" spans="4:4" x14ac:dyDescent="0.2">
      <c r="D800" s="1"/>
    </row>
    <row r="801" spans="4:4" x14ac:dyDescent="0.2">
      <c r="D801" s="1"/>
    </row>
    <row r="803" spans="4:4" x14ac:dyDescent="0.2">
      <c r="D803" s="1"/>
    </row>
    <row r="804" spans="4:4" x14ac:dyDescent="0.2">
      <c r="D804" s="1"/>
    </row>
    <row r="807" spans="4:4" x14ac:dyDescent="0.2">
      <c r="D807" s="1"/>
    </row>
    <row r="810" spans="4:4" x14ac:dyDescent="0.2">
      <c r="D810" s="1"/>
    </row>
    <row r="811" spans="4:4" x14ac:dyDescent="0.2">
      <c r="D811" s="1"/>
    </row>
    <row r="812" spans="4:4" x14ac:dyDescent="0.2">
      <c r="D812" s="1"/>
    </row>
    <row r="813" spans="4:4" x14ac:dyDescent="0.2">
      <c r="D813" s="1"/>
    </row>
    <row r="815" spans="4:4" x14ac:dyDescent="0.2">
      <c r="D815" s="1"/>
    </row>
    <row r="816" spans="4:4" x14ac:dyDescent="0.2">
      <c r="D816" s="1"/>
    </row>
    <row r="817" spans="4:4" x14ac:dyDescent="0.2">
      <c r="D817" s="1"/>
    </row>
    <row r="818" spans="4:4" x14ac:dyDescent="0.2">
      <c r="D818" s="1"/>
    </row>
    <row r="819" spans="4:4" x14ac:dyDescent="0.2">
      <c r="D819" s="1"/>
    </row>
    <row r="820" spans="4:4" x14ac:dyDescent="0.2">
      <c r="D820" s="1"/>
    </row>
    <row r="823" spans="4:4" x14ac:dyDescent="0.2">
      <c r="D823" s="1"/>
    </row>
    <row r="824" spans="4:4" x14ac:dyDescent="0.2">
      <c r="D824" s="1"/>
    </row>
    <row r="825" spans="4:4" x14ac:dyDescent="0.2">
      <c r="D825" s="1"/>
    </row>
    <row r="826" spans="4:4" x14ac:dyDescent="0.2">
      <c r="D826" s="1"/>
    </row>
    <row r="827" spans="4:4" x14ac:dyDescent="0.2">
      <c r="D827" s="1"/>
    </row>
    <row r="828" spans="4:4" x14ac:dyDescent="0.2">
      <c r="D828" s="1"/>
    </row>
    <row r="829" spans="4:4" x14ac:dyDescent="0.2">
      <c r="D829" s="1"/>
    </row>
    <row r="830" spans="4:4" x14ac:dyDescent="0.2">
      <c r="D830" s="1"/>
    </row>
    <row r="831" spans="4:4" x14ac:dyDescent="0.2">
      <c r="D831" s="1"/>
    </row>
    <row r="832" spans="4:4" x14ac:dyDescent="0.2">
      <c r="D832" s="1"/>
    </row>
    <row r="833" spans="4:4" x14ac:dyDescent="0.2">
      <c r="D833" s="1"/>
    </row>
    <row r="834" spans="4:4" x14ac:dyDescent="0.2">
      <c r="D834" s="1"/>
    </row>
    <row r="836" spans="4:4" x14ac:dyDescent="0.2">
      <c r="D836" s="1"/>
    </row>
    <row r="837" spans="4:4" x14ac:dyDescent="0.2">
      <c r="D837" s="1"/>
    </row>
    <row r="838" spans="4:4" x14ac:dyDescent="0.2">
      <c r="D838" s="1"/>
    </row>
    <row r="839" spans="4:4" x14ac:dyDescent="0.2">
      <c r="D839" s="1"/>
    </row>
    <row r="840" spans="4:4" x14ac:dyDescent="0.2">
      <c r="D840" s="1"/>
    </row>
    <row r="841" spans="4:4" x14ac:dyDescent="0.2">
      <c r="D841" s="1"/>
    </row>
    <row r="842" spans="4:4" x14ac:dyDescent="0.2">
      <c r="D842" s="1"/>
    </row>
    <row r="843" spans="4:4" x14ac:dyDescent="0.2">
      <c r="D843" s="1"/>
    </row>
    <row r="844" spans="4:4" x14ac:dyDescent="0.2">
      <c r="D844" s="1"/>
    </row>
    <row r="845" spans="4:4" x14ac:dyDescent="0.2">
      <c r="D845" s="1"/>
    </row>
    <row r="846" spans="4:4" x14ac:dyDescent="0.2">
      <c r="D846" s="1"/>
    </row>
    <row r="847" spans="4:4" x14ac:dyDescent="0.2">
      <c r="D847" s="1"/>
    </row>
    <row r="848" spans="4:4" x14ac:dyDescent="0.2">
      <c r="D848" s="1"/>
    </row>
    <row r="849" spans="4:4" x14ac:dyDescent="0.2">
      <c r="D849" s="1"/>
    </row>
    <row r="850" spans="4:4" x14ac:dyDescent="0.2">
      <c r="D850" s="1"/>
    </row>
    <row r="851" spans="4:4" x14ac:dyDescent="0.2">
      <c r="D851" s="1"/>
    </row>
    <row r="852" spans="4:4" x14ac:dyDescent="0.2">
      <c r="D852" s="1"/>
    </row>
    <row r="853" spans="4:4" x14ac:dyDescent="0.2">
      <c r="D853" s="1"/>
    </row>
    <row r="854" spans="4:4" x14ac:dyDescent="0.2">
      <c r="D854" s="1"/>
    </row>
    <row r="855" spans="4:4" x14ac:dyDescent="0.2">
      <c r="D855" s="1"/>
    </row>
    <row r="856" spans="4:4" x14ac:dyDescent="0.2">
      <c r="D856" s="1"/>
    </row>
    <row r="857" spans="4:4" x14ac:dyDescent="0.2">
      <c r="D857" s="1"/>
    </row>
    <row r="858" spans="4:4" x14ac:dyDescent="0.2">
      <c r="D858" s="1"/>
    </row>
    <row r="859" spans="4:4" x14ac:dyDescent="0.2">
      <c r="D859" s="1"/>
    </row>
    <row r="860" spans="4:4" x14ac:dyDescent="0.2">
      <c r="D860" s="1"/>
    </row>
    <row r="861" spans="4:4" x14ac:dyDescent="0.2">
      <c r="D861" s="1"/>
    </row>
    <row r="862" spans="4:4" x14ac:dyDescent="0.2">
      <c r="D862" s="1"/>
    </row>
    <row r="863" spans="4:4" x14ac:dyDescent="0.2">
      <c r="D863" s="1"/>
    </row>
    <row r="864" spans="4:4" x14ac:dyDescent="0.2">
      <c r="D864" s="1"/>
    </row>
    <row r="865" spans="4:4" x14ac:dyDescent="0.2">
      <c r="D865" s="1"/>
    </row>
    <row r="866" spans="4:4" x14ac:dyDescent="0.2">
      <c r="D866" s="1"/>
    </row>
    <row r="867" spans="4:4" x14ac:dyDescent="0.2">
      <c r="D867" s="1"/>
    </row>
    <row r="868" spans="4:4" x14ac:dyDescent="0.2">
      <c r="D868" s="1"/>
    </row>
    <row r="869" spans="4:4" x14ac:dyDescent="0.2">
      <c r="D869" s="1"/>
    </row>
    <row r="870" spans="4:4" x14ac:dyDescent="0.2">
      <c r="D870" s="1"/>
    </row>
    <row r="871" spans="4:4" x14ac:dyDescent="0.2">
      <c r="D871" s="1"/>
    </row>
    <row r="872" spans="4:4" x14ac:dyDescent="0.2">
      <c r="D872" s="1"/>
    </row>
    <row r="873" spans="4:4" x14ac:dyDescent="0.2">
      <c r="D873" s="1"/>
    </row>
    <row r="874" spans="4:4" x14ac:dyDescent="0.2">
      <c r="D874" s="1"/>
    </row>
    <row r="875" spans="4:4" x14ac:dyDescent="0.2">
      <c r="D875" s="1"/>
    </row>
    <row r="876" spans="4:4" x14ac:dyDescent="0.2">
      <c r="D876" s="1"/>
    </row>
    <row r="877" spans="4:4" x14ac:dyDescent="0.2">
      <c r="D877" s="1"/>
    </row>
    <row r="878" spans="4:4" x14ac:dyDescent="0.2">
      <c r="D878" s="1"/>
    </row>
    <row r="879" spans="4:4" x14ac:dyDescent="0.2">
      <c r="D879" s="1"/>
    </row>
    <row r="880" spans="4:4" x14ac:dyDescent="0.2">
      <c r="D880" s="1"/>
    </row>
    <row r="881" spans="4:4" x14ac:dyDescent="0.2">
      <c r="D881" s="1"/>
    </row>
    <row r="882" spans="4:4" x14ac:dyDescent="0.2">
      <c r="D882" s="1"/>
    </row>
    <row r="883" spans="4:4" x14ac:dyDescent="0.2">
      <c r="D883" s="1"/>
    </row>
    <row r="884" spans="4:4" x14ac:dyDescent="0.2">
      <c r="D884" s="1"/>
    </row>
    <row r="885" spans="4:4" x14ac:dyDescent="0.2">
      <c r="D885" s="1"/>
    </row>
    <row r="886" spans="4:4" x14ac:dyDescent="0.2">
      <c r="D886" s="1"/>
    </row>
    <row r="887" spans="4:4" x14ac:dyDescent="0.2">
      <c r="D887" s="1"/>
    </row>
    <row r="888" spans="4:4" x14ac:dyDescent="0.2">
      <c r="D888" s="1"/>
    </row>
    <row r="889" spans="4:4" x14ac:dyDescent="0.2">
      <c r="D889" s="1"/>
    </row>
    <row r="890" spans="4:4" x14ac:dyDescent="0.2">
      <c r="D890" s="1"/>
    </row>
    <row r="891" spans="4:4" x14ac:dyDescent="0.2">
      <c r="D891" s="1"/>
    </row>
    <row r="892" spans="4:4" x14ac:dyDescent="0.2">
      <c r="D892" s="1"/>
    </row>
    <row r="893" spans="4:4" x14ac:dyDescent="0.2">
      <c r="D893" s="1"/>
    </row>
    <row r="894" spans="4:4" x14ac:dyDescent="0.2">
      <c r="D894" s="1"/>
    </row>
    <row r="895" spans="4:4" x14ac:dyDescent="0.2">
      <c r="D895" s="1"/>
    </row>
    <row r="896" spans="4:4" x14ac:dyDescent="0.2">
      <c r="D896" s="1"/>
    </row>
    <row r="897" spans="4:4" x14ac:dyDescent="0.2">
      <c r="D897" s="1"/>
    </row>
    <row r="898" spans="4:4" x14ac:dyDescent="0.2">
      <c r="D898" s="1"/>
    </row>
    <row r="899" spans="4:4" x14ac:dyDescent="0.2">
      <c r="D899" s="1"/>
    </row>
    <row r="900" spans="4:4" x14ac:dyDescent="0.2">
      <c r="D900" s="1"/>
    </row>
    <row r="901" spans="4:4" x14ac:dyDescent="0.2">
      <c r="D901" s="1"/>
    </row>
    <row r="902" spans="4:4" x14ac:dyDescent="0.2">
      <c r="D902" s="1"/>
    </row>
    <row r="903" spans="4:4" x14ac:dyDescent="0.2">
      <c r="D903" s="1"/>
    </row>
    <row r="904" spans="4:4" x14ac:dyDescent="0.2">
      <c r="D904" s="1"/>
    </row>
    <row r="905" spans="4:4" x14ac:dyDescent="0.2">
      <c r="D905" s="1"/>
    </row>
    <row r="906" spans="4:4" x14ac:dyDescent="0.2">
      <c r="D906" s="1"/>
    </row>
    <row r="907" spans="4:4" x14ac:dyDescent="0.2">
      <c r="D907" s="1"/>
    </row>
    <row r="908" spans="4:4" x14ac:dyDescent="0.2">
      <c r="D908" s="1"/>
    </row>
    <row r="909" spans="4:4" x14ac:dyDescent="0.2">
      <c r="D909" s="1"/>
    </row>
    <row r="910" spans="4:4" x14ac:dyDescent="0.2">
      <c r="D910" s="1"/>
    </row>
    <row r="911" spans="4:4" x14ac:dyDescent="0.2">
      <c r="D911" s="1"/>
    </row>
    <row r="912" spans="4:4" x14ac:dyDescent="0.2">
      <c r="D912" s="1"/>
    </row>
    <row r="913" spans="4:4" x14ac:dyDescent="0.2">
      <c r="D913" s="1"/>
    </row>
    <row r="914" spans="4:4" x14ac:dyDescent="0.2">
      <c r="D914" s="1"/>
    </row>
    <row r="915" spans="4:4" x14ac:dyDescent="0.2">
      <c r="D915" s="1"/>
    </row>
    <row r="916" spans="4:4" x14ac:dyDescent="0.2">
      <c r="D916" s="1"/>
    </row>
    <row r="917" spans="4:4" x14ac:dyDescent="0.2">
      <c r="D917" s="1"/>
    </row>
    <row r="918" spans="4:4" x14ac:dyDescent="0.2">
      <c r="D918" s="1"/>
    </row>
    <row r="919" spans="4:4" x14ac:dyDescent="0.2">
      <c r="D919" s="1"/>
    </row>
    <row r="920" spans="4:4" x14ac:dyDescent="0.2">
      <c r="D920" s="1"/>
    </row>
    <row r="921" spans="4:4" x14ac:dyDescent="0.2">
      <c r="D921" s="1"/>
    </row>
    <row r="922" spans="4:4" x14ac:dyDescent="0.2">
      <c r="D922" s="1"/>
    </row>
    <row r="923" spans="4:4" x14ac:dyDescent="0.2">
      <c r="D923" s="1"/>
    </row>
    <row r="924" spans="4:4" x14ac:dyDescent="0.2">
      <c r="D924" s="1"/>
    </row>
    <row r="925" spans="4:4" x14ac:dyDescent="0.2">
      <c r="D925" s="1"/>
    </row>
    <row r="926" spans="4:4" x14ac:dyDescent="0.2">
      <c r="D926" s="1"/>
    </row>
    <row r="927" spans="4:4" x14ac:dyDescent="0.2">
      <c r="D927" s="1"/>
    </row>
    <row r="928" spans="4:4" x14ac:dyDescent="0.2">
      <c r="D928" s="1"/>
    </row>
    <row r="929" spans="4:4" x14ac:dyDescent="0.2">
      <c r="D929" s="1"/>
    </row>
    <row r="930" spans="4:4" x14ac:dyDescent="0.2">
      <c r="D930" s="1"/>
    </row>
    <row r="931" spans="4:4" x14ac:dyDescent="0.2">
      <c r="D931" s="1"/>
    </row>
    <row r="932" spans="4:4" x14ac:dyDescent="0.2">
      <c r="D932" s="1"/>
    </row>
    <row r="933" spans="4:4" x14ac:dyDescent="0.2">
      <c r="D933" s="1"/>
    </row>
    <row r="934" spans="4:4" x14ac:dyDescent="0.2">
      <c r="D934" s="1"/>
    </row>
    <row r="935" spans="4:4" x14ac:dyDescent="0.2">
      <c r="D935" s="1"/>
    </row>
    <row r="936" spans="4:4" x14ac:dyDescent="0.2">
      <c r="D936" s="1"/>
    </row>
    <row r="937" spans="4:4" x14ac:dyDescent="0.2">
      <c r="D937" s="1"/>
    </row>
    <row r="938" spans="4:4" x14ac:dyDescent="0.2">
      <c r="D938" s="1"/>
    </row>
    <row r="939" spans="4:4" x14ac:dyDescent="0.2">
      <c r="D939" s="1"/>
    </row>
    <row r="940" spans="4:4" x14ac:dyDescent="0.2">
      <c r="D940" s="1"/>
    </row>
    <row r="941" spans="4:4" x14ac:dyDescent="0.2">
      <c r="D941" s="1"/>
    </row>
    <row r="942" spans="4:4" x14ac:dyDescent="0.2">
      <c r="D942" s="1"/>
    </row>
    <row r="943" spans="4:4" x14ac:dyDescent="0.2">
      <c r="D943" s="1"/>
    </row>
    <row r="944" spans="4:4" x14ac:dyDescent="0.2">
      <c r="D944" s="1"/>
    </row>
    <row r="945" spans="4:4" x14ac:dyDescent="0.2">
      <c r="D945" s="1"/>
    </row>
    <row r="946" spans="4:4" x14ac:dyDescent="0.2">
      <c r="D946" s="1"/>
    </row>
    <row r="947" spans="4:4" x14ac:dyDescent="0.2">
      <c r="D947" s="1"/>
    </row>
    <row r="948" spans="4:4" x14ac:dyDescent="0.2">
      <c r="D948" s="1"/>
    </row>
    <row r="949" spans="4:4" x14ac:dyDescent="0.2">
      <c r="D949" s="1"/>
    </row>
    <row r="950" spans="4:4" x14ac:dyDescent="0.2">
      <c r="D950" s="1"/>
    </row>
    <row r="951" spans="4:4" x14ac:dyDescent="0.2">
      <c r="D951" s="1"/>
    </row>
    <row r="952" spans="4:4" x14ac:dyDescent="0.2">
      <c r="D952" s="1"/>
    </row>
    <row r="953" spans="4:4" x14ac:dyDescent="0.2">
      <c r="D953" s="1"/>
    </row>
    <row r="954" spans="4:4" x14ac:dyDescent="0.2">
      <c r="D954" s="1"/>
    </row>
    <row r="955" spans="4:4" x14ac:dyDescent="0.2">
      <c r="D955" s="1"/>
    </row>
    <row r="956" spans="4:4" x14ac:dyDescent="0.2">
      <c r="D956" s="1"/>
    </row>
    <row r="957" spans="4:4" x14ac:dyDescent="0.2">
      <c r="D957" s="1"/>
    </row>
    <row r="958" spans="4:4" x14ac:dyDescent="0.2">
      <c r="D958" s="1"/>
    </row>
    <row r="959" spans="4:4" x14ac:dyDescent="0.2">
      <c r="D959" s="1"/>
    </row>
    <row r="960" spans="4:4" x14ac:dyDescent="0.2">
      <c r="D960" s="1"/>
    </row>
    <row r="961" spans="4:4" x14ac:dyDescent="0.2">
      <c r="D961" s="1"/>
    </row>
    <row r="962" spans="4:4" x14ac:dyDescent="0.2">
      <c r="D962" s="1"/>
    </row>
    <row r="963" spans="4:4" x14ac:dyDescent="0.2">
      <c r="D963" s="1"/>
    </row>
    <row r="964" spans="4:4" x14ac:dyDescent="0.2">
      <c r="D964" s="1"/>
    </row>
    <row r="965" spans="4:4" x14ac:dyDescent="0.2">
      <c r="D965" s="1"/>
    </row>
    <row r="966" spans="4:4" x14ac:dyDescent="0.2">
      <c r="D966" s="1"/>
    </row>
    <row r="967" spans="4:4" x14ac:dyDescent="0.2">
      <c r="D967" s="1"/>
    </row>
    <row r="968" spans="4:4" x14ac:dyDescent="0.2">
      <c r="D968" s="1"/>
    </row>
    <row r="969" spans="4:4" x14ac:dyDescent="0.2">
      <c r="D969" s="1"/>
    </row>
    <row r="970" spans="4:4" x14ac:dyDescent="0.2">
      <c r="D970" s="1"/>
    </row>
    <row r="971" spans="4:4" x14ac:dyDescent="0.2">
      <c r="D971" s="1"/>
    </row>
    <row r="973" spans="4:4" x14ac:dyDescent="0.2">
      <c r="D973" s="1"/>
    </row>
    <row r="975" spans="4:4" x14ac:dyDescent="0.2">
      <c r="D975" s="1"/>
    </row>
    <row r="976" spans="4:4" x14ac:dyDescent="0.2">
      <c r="D976" s="1"/>
    </row>
    <row r="977" spans="4:4" x14ac:dyDescent="0.2">
      <c r="D977" s="1"/>
    </row>
    <row r="978" spans="4:4" x14ac:dyDescent="0.2">
      <c r="D978" s="1"/>
    </row>
    <row r="979" spans="4:4" x14ac:dyDescent="0.2">
      <c r="D979" s="1"/>
    </row>
    <row r="980" spans="4:4" x14ac:dyDescent="0.2">
      <c r="D980" s="1"/>
    </row>
    <row r="981" spans="4:4" x14ac:dyDescent="0.2">
      <c r="D981" s="1"/>
    </row>
    <row r="982" spans="4:4" x14ac:dyDescent="0.2">
      <c r="D982" s="1"/>
    </row>
    <row r="983" spans="4:4" x14ac:dyDescent="0.2">
      <c r="D983" s="1"/>
    </row>
    <row r="984" spans="4:4" x14ac:dyDescent="0.2">
      <c r="D984" s="1"/>
    </row>
    <row r="985" spans="4:4" x14ac:dyDescent="0.2">
      <c r="D985" s="1"/>
    </row>
    <row r="986" spans="4:4" x14ac:dyDescent="0.2">
      <c r="D986" s="1"/>
    </row>
    <row r="987" spans="4:4" x14ac:dyDescent="0.2">
      <c r="D987" s="1"/>
    </row>
    <row r="988" spans="4:4" x14ac:dyDescent="0.2">
      <c r="D988" s="1"/>
    </row>
    <row r="989" spans="4:4" x14ac:dyDescent="0.2">
      <c r="D989" s="1"/>
    </row>
    <row r="990" spans="4:4" x14ac:dyDescent="0.2">
      <c r="D990" s="1"/>
    </row>
    <row r="991" spans="4:4" x14ac:dyDescent="0.2">
      <c r="D991" s="1"/>
    </row>
    <row r="992" spans="4:4" x14ac:dyDescent="0.2">
      <c r="D992" s="1"/>
    </row>
    <row r="993" spans="4:4" x14ac:dyDescent="0.2">
      <c r="D993" s="1"/>
    </row>
    <row r="994" spans="4:4" x14ac:dyDescent="0.2">
      <c r="D994" s="1"/>
    </row>
    <row r="995" spans="4:4" x14ac:dyDescent="0.2">
      <c r="D995" s="1"/>
    </row>
    <row r="996" spans="4:4" x14ac:dyDescent="0.2">
      <c r="D996" s="1"/>
    </row>
    <row r="997" spans="4:4" x14ac:dyDescent="0.2">
      <c r="D997" s="1"/>
    </row>
    <row r="998" spans="4:4" x14ac:dyDescent="0.2">
      <c r="D998" s="1"/>
    </row>
    <row r="999" spans="4:4" x14ac:dyDescent="0.2">
      <c r="D999" s="1"/>
    </row>
    <row r="1000" spans="4:4" x14ac:dyDescent="0.2">
      <c r="D1000" s="1"/>
    </row>
    <row r="1001" spans="4:4" x14ac:dyDescent="0.2">
      <c r="D1001" s="1"/>
    </row>
    <row r="1002" spans="4:4" x14ac:dyDescent="0.2">
      <c r="D1002" s="1"/>
    </row>
    <row r="1003" spans="4:4" x14ac:dyDescent="0.2">
      <c r="D1003" s="1"/>
    </row>
    <row r="1004" spans="4:4" x14ac:dyDescent="0.2">
      <c r="D1004" s="1"/>
    </row>
    <row r="1005" spans="4:4" x14ac:dyDescent="0.2">
      <c r="D1005" s="1"/>
    </row>
    <row r="1006" spans="4:4" x14ac:dyDescent="0.2">
      <c r="D1006" s="1"/>
    </row>
    <row r="1007" spans="4:4" x14ac:dyDescent="0.2">
      <c r="D1007" s="1"/>
    </row>
    <row r="1008" spans="4:4" x14ac:dyDescent="0.2">
      <c r="D1008" s="1"/>
    </row>
    <row r="1009" spans="4:4" x14ac:dyDescent="0.2">
      <c r="D1009" s="1"/>
    </row>
    <row r="1010" spans="4:4" x14ac:dyDescent="0.2">
      <c r="D1010" s="1"/>
    </row>
    <row r="1011" spans="4:4" x14ac:dyDescent="0.2">
      <c r="D1011" s="1"/>
    </row>
    <row r="1012" spans="4:4" x14ac:dyDescent="0.2">
      <c r="D1012" s="1"/>
    </row>
    <row r="1013" spans="4:4" x14ac:dyDescent="0.2">
      <c r="D1013" s="1"/>
    </row>
    <row r="1014" spans="4:4" x14ac:dyDescent="0.2">
      <c r="D1014" s="1"/>
    </row>
    <row r="1015" spans="4:4" x14ac:dyDescent="0.2">
      <c r="D1015" s="1"/>
    </row>
    <row r="1016" spans="4:4" x14ac:dyDescent="0.2">
      <c r="D1016" s="1"/>
    </row>
    <row r="1017" spans="4:4" x14ac:dyDescent="0.2">
      <c r="D1017" s="1"/>
    </row>
    <row r="1018" spans="4:4" x14ac:dyDescent="0.2">
      <c r="D1018" s="1"/>
    </row>
    <row r="1019" spans="4:4" x14ac:dyDescent="0.2">
      <c r="D1019" s="1"/>
    </row>
    <row r="1020" spans="4:4" x14ac:dyDescent="0.2">
      <c r="D1020" s="1"/>
    </row>
    <row r="1021" spans="4:4" x14ac:dyDescent="0.2">
      <c r="D1021" s="1"/>
    </row>
    <row r="1022" spans="4:4" x14ac:dyDescent="0.2">
      <c r="D1022" s="1"/>
    </row>
    <row r="1023" spans="4:4" x14ac:dyDescent="0.2">
      <c r="D1023" s="1"/>
    </row>
    <row r="1024" spans="4:4" x14ac:dyDescent="0.2">
      <c r="D1024" s="1"/>
    </row>
    <row r="1025" spans="4:4" x14ac:dyDescent="0.2">
      <c r="D1025" s="1"/>
    </row>
    <row r="1026" spans="4:4" x14ac:dyDescent="0.2">
      <c r="D1026" s="1"/>
    </row>
    <row r="1027" spans="4:4" x14ac:dyDescent="0.2">
      <c r="D1027" s="1"/>
    </row>
    <row r="1028" spans="4:4" x14ac:dyDescent="0.2">
      <c r="D1028" s="1"/>
    </row>
    <row r="1029" spans="4:4" x14ac:dyDescent="0.2">
      <c r="D1029" s="1"/>
    </row>
    <row r="1030" spans="4:4" x14ac:dyDescent="0.2">
      <c r="D1030" s="1"/>
    </row>
    <row r="1031" spans="4:4" x14ac:dyDescent="0.2">
      <c r="D1031" s="1"/>
    </row>
    <row r="1032" spans="4:4" x14ac:dyDescent="0.2">
      <c r="D1032" s="1"/>
    </row>
    <row r="1033" spans="4:4" x14ac:dyDescent="0.2">
      <c r="D1033" s="1"/>
    </row>
    <row r="1034" spans="4:4" x14ac:dyDescent="0.2">
      <c r="D1034" s="1"/>
    </row>
    <row r="1035" spans="4:4" x14ac:dyDescent="0.2">
      <c r="D1035" s="1"/>
    </row>
    <row r="1036" spans="4:4" x14ac:dyDescent="0.2">
      <c r="D1036" s="1"/>
    </row>
    <row r="1037" spans="4:4" x14ac:dyDescent="0.2">
      <c r="D1037" s="1"/>
    </row>
    <row r="1038" spans="4:4" x14ac:dyDescent="0.2">
      <c r="D1038" s="1"/>
    </row>
    <row r="1039" spans="4:4" x14ac:dyDescent="0.2">
      <c r="D1039" s="1"/>
    </row>
    <row r="1040" spans="4:4" x14ac:dyDescent="0.2">
      <c r="D1040" s="1"/>
    </row>
    <row r="1041" spans="4:4" x14ac:dyDescent="0.2">
      <c r="D1041" s="1"/>
    </row>
    <row r="1042" spans="4:4" x14ac:dyDescent="0.2">
      <c r="D1042" s="1"/>
    </row>
    <row r="1043" spans="4:4" x14ac:dyDescent="0.2">
      <c r="D1043" s="1"/>
    </row>
    <row r="1044" spans="4:4" x14ac:dyDescent="0.2">
      <c r="D1044" s="1"/>
    </row>
    <row r="1045" spans="4:4" x14ac:dyDescent="0.2">
      <c r="D1045" s="1"/>
    </row>
    <row r="1046" spans="4:4" x14ac:dyDescent="0.2">
      <c r="D1046" s="1"/>
    </row>
    <row r="1047" spans="4:4" x14ac:dyDescent="0.2">
      <c r="D1047" s="1"/>
    </row>
    <row r="1048" spans="4:4" x14ac:dyDescent="0.2">
      <c r="D1048" s="1"/>
    </row>
    <row r="1049" spans="4:4" x14ac:dyDescent="0.2">
      <c r="D1049" s="1"/>
    </row>
    <row r="1050" spans="4:4" x14ac:dyDescent="0.2">
      <c r="D1050" s="1"/>
    </row>
    <row r="1051" spans="4:4" x14ac:dyDescent="0.2">
      <c r="D1051" s="1"/>
    </row>
    <row r="1052" spans="4:4" x14ac:dyDescent="0.2">
      <c r="D1052" s="1"/>
    </row>
    <row r="1053" spans="4:4" x14ac:dyDescent="0.2">
      <c r="D1053" s="1"/>
    </row>
    <row r="1054" spans="4:4" x14ac:dyDescent="0.2">
      <c r="D1054" s="1"/>
    </row>
    <row r="1055" spans="4:4" x14ac:dyDescent="0.2">
      <c r="D1055" s="1"/>
    </row>
    <row r="1056" spans="4:4" x14ac:dyDescent="0.2">
      <c r="D1056" s="1"/>
    </row>
    <row r="1057" spans="4:4" x14ac:dyDescent="0.2">
      <c r="D1057" s="1"/>
    </row>
    <row r="1058" spans="4:4" x14ac:dyDescent="0.2">
      <c r="D1058" s="1"/>
    </row>
    <row r="1059" spans="4:4" x14ac:dyDescent="0.2">
      <c r="D1059" s="1"/>
    </row>
    <row r="1060" spans="4:4" x14ac:dyDescent="0.2">
      <c r="D1060" s="1"/>
    </row>
    <row r="1061" spans="4:4" x14ac:dyDescent="0.2">
      <c r="D1061" s="1"/>
    </row>
    <row r="1062" spans="4:4" x14ac:dyDescent="0.2">
      <c r="D1062" s="1"/>
    </row>
    <row r="1063" spans="4:4" x14ac:dyDescent="0.2">
      <c r="D1063" s="1"/>
    </row>
    <row r="1064" spans="4:4" x14ac:dyDescent="0.2">
      <c r="D1064" s="1"/>
    </row>
    <row r="1065" spans="4:4" x14ac:dyDescent="0.2">
      <c r="D1065" s="1"/>
    </row>
    <row r="1066" spans="4:4" x14ac:dyDescent="0.2">
      <c r="D1066" s="1"/>
    </row>
    <row r="1067" spans="4:4" x14ac:dyDescent="0.2">
      <c r="D1067" s="1"/>
    </row>
    <row r="1068" spans="4:4" x14ac:dyDescent="0.2">
      <c r="D1068" s="1"/>
    </row>
    <row r="1069" spans="4:4" x14ac:dyDescent="0.2">
      <c r="D1069" s="1"/>
    </row>
    <row r="1070" spans="4:4" x14ac:dyDescent="0.2">
      <c r="D1070" s="1"/>
    </row>
    <row r="1071" spans="4:4" x14ac:dyDescent="0.2">
      <c r="D1071" s="1"/>
    </row>
    <row r="1072" spans="4:4" x14ac:dyDescent="0.2">
      <c r="D1072" s="1"/>
    </row>
    <row r="1073" spans="4:4" x14ac:dyDescent="0.2">
      <c r="D1073" s="1"/>
    </row>
    <row r="1074" spans="4:4" x14ac:dyDescent="0.2">
      <c r="D1074" s="1"/>
    </row>
    <row r="1075" spans="4:4" x14ac:dyDescent="0.2">
      <c r="D1075" s="1"/>
    </row>
    <row r="1076" spans="4:4" x14ac:dyDescent="0.2">
      <c r="D1076" s="1"/>
    </row>
    <row r="1077" spans="4:4" x14ac:dyDescent="0.2">
      <c r="D1077" s="1"/>
    </row>
    <row r="1078" spans="4:4" x14ac:dyDescent="0.2">
      <c r="D1078" s="1"/>
    </row>
    <row r="1079" spans="4:4" x14ac:dyDescent="0.2">
      <c r="D1079" s="1"/>
    </row>
    <row r="1080" spans="4:4" x14ac:dyDescent="0.2">
      <c r="D1080" s="1"/>
    </row>
    <row r="1081" spans="4:4" x14ac:dyDescent="0.2">
      <c r="D1081" s="1"/>
    </row>
    <row r="1082" spans="4:4" x14ac:dyDescent="0.2">
      <c r="D1082" s="1"/>
    </row>
    <row r="1083" spans="4:4" x14ac:dyDescent="0.2">
      <c r="D1083" s="1"/>
    </row>
    <row r="1084" spans="4:4" x14ac:dyDescent="0.2">
      <c r="D1084" s="1"/>
    </row>
    <row r="1085" spans="4:4" x14ac:dyDescent="0.2">
      <c r="D1085" s="1"/>
    </row>
    <row r="1086" spans="4:4" x14ac:dyDescent="0.2">
      <c r="D1086" s="1"/>
    </row>
    <row r="1087" spans="4:4" x14ac:dyDescent="0.2">
      <c r="D1087" s="1"/>
    </row>
    <row r="1088" spans="4:4" x14ac:dyDescent="0.2">
      <c r="D1088" s="1"/>
    </row>
    <row r="1089" spans="4:4" x14ac:dyDescent="0.2">
      <c r="D1089" s="1"/>
    </row>
    <row r="1090" spans="4:4" x14ac:dyDescent="0.2">
      <c r="D1090" s="1"/>
    </row>
    <row r="1091" spans="4:4" x14ac:dyDescent="0.2">
      <c r="D1091" s="1"/>
    </row>
    <row r="1092" spans="4:4" x14ac:dyDescent="0.2">
      <c r="D1092" s="1"/>
    </row>
    <row r="1093" spans="4:4" x14ac:dyDescent="0.2">
      <c r="D1093" s="1"/>
    </row>
    <row r="1094" spans="4:4" x14ac:dyDescent="0.2">
      <c r="D1094" s="1"/>
    </row>
    <row r="1095" spans="4:4" x14ac:dyDescent="0.2">
      <c r="D1095" s="1"/>
    </row>
    <row r="1096" spans="4:4" x14ac:dyDescent="0.2">
      <c r="D1096" s="1"/>
    </row>
    <row r="1097" spans="4:4" x14ac:dyDescent="0.2">
      <c r="D1097" s="1"/>
    </row>
    <row r="1099" spans="4:4" x14ac:dyDescent="0.2">
      <c r="D1099" s="1"/>
    </row>
    <row r="1100" spans="4:4" x14ac:dyDescent="0.2">
      <c r="D1100" s="1"/>
    </row>
    <row r="1101" spans="4:4" x14ac:dyDescent="0.2">
      <c r="D1101" s="1"/>
    </row>
    <row r="1102" spans="4:4" x14ac:dyDescent="0.2">
      <c r="D1102" s="1"/>
    </row>
    <row r="1103" spans="4:4" x14ac:dyDescent="0.2">
      <c r="D1103" s="1"/>
    </row>
    <row r="1104" spans="4:4" x14ac:dyDescent="0.2">
      <c r="D1104" s="1"/>
    </row>
    <row r="1105" spans="4:4" x14ac:dyDescent="0.2">
      <c r="D1105" s="1"/>
    </row>
    <row r="1106" spans="4:4" x14ac:dyDescent="0.2">
      <c r="D1106" s="1"/>
    </row>
    <row r="1107" spans="4:4" x14ac:dyDescent="0.2">
      <c r="D1107" s="1"/>
    </row>
    <row r="1108" spans="4:4" x14ac:dyDescent="0.2">
      <c r="D1108" s="1"/>
    </row>
    <row r="1109" spans="4:4" x14ac:dyDescent="0.2">
      <c r="D1109" s="1"/>
    </row>
    <row r="1110" spans="4:4" x14ac:dyDescent="0.2">
      <c r="D1110" s="1"/>
    </row>
    <row r="1111" spans="4:4" x14ac:dyDescent="0.2">
      <c r="D1111" s="1"/>
    </row>
    <row r="1113" spans="4:4" x14ac:dyDescent="0.2">
      <c r="D1113" s="1"/>
    </row>
    <row r="1114" spans="4:4" x14ac:dyDescent="0.2">
      <c r="D1114" s="1"/>
    </row>
    <row r="1115" spans="4:4" x14ac:dyDescent="0.2">
      <c r="D1115" s="1"/>
    </row>
    <row r="1116" spans="4:4" x14ac:dyDescent="0.2">
      <c r="D1116" s="1"/>
    </row>
    <row r="1117" spans="4:4" x14ac:dyDescent="0.2">
      <c r="D1117" s="1"/>
    </row>
    <row r="1118" spans="4:4" x14ac:dyDescent="0.2">
      <c r="D1118" s="1"/>
    </row>
    <row r="1119" spans="4:4" x14ac:dyDescent="0.2">
      <c r="D1119" s="1"/>
    </row>
    <row r="1120" spans="4:4" x14ac:dyDescent="0.2">
      <c r="D1120" s="1"/>
    </row>
    <row r="1121" spans="4:4" x14ac:dyDescent="0.2">
      <c r="D1121" s="1"/>
    </row>
    <row r="1125" spans="4:4" x14ac:dyDescent="0.2">
      <c r="D1125" s="1"/>
    </row>
    <row r="1127" spans="4:4" x14ac:dyDescent="0.2">
      <c r="D1127" s="1"/>
    </row>
    <row r="1129" spans="4:4" x14ac:dyDescent="0.2">
      <c r="D1129" s="1"/>
    </row>
    <row r="1130" spans="4:4" x14ac:dyDescent="0.2">
      <c r="D1130" s="1"/>
    </row>
    <row r="1131" spans="4:4" x14ac:dyDescent="0.2">
      <c r="D1131" s="1"/>
    </row>
    <row r="1133" spans="4:4" x14ac:dyDescent="0.2">
      <c r="D1133" s="1"/>
    </row>
    <row r="1134" spans="4:4" x14ac:dyDescent="0.2">
      <c r="D1134" s="1"/>
    </row>
    <row r="1135" spans="4:4" x14ac:dyDescent="0.2">
      <c r="D1135" s="1"/>
    </row>
    <row r="1138" spans="4:4" x14ac:dyDescent="0.2">
      <c r="D1138" s="1"/>
    </row>
    <row r="1139" spans="4:4" x14ac:dyDescent="0.2">
      <c r="D1139" s="1"/>
    </row>
    <row r="1142" spans="4:4" x14ac:dyDescent="0.2">
      <c r="D1142" s="1"/>
    </row>
    <row r="1151" spans="4:4" x14ac:dyDescent="0.2">
      <c r="D1151" s="1"/>
    </row>
    <row r="1153" spans="4:4" x14ac:dyDescent="0.2">
      <c r="D1153" s="1"/>
    </row>
    <row r="1418" spans="4:4" x14ac:dyDescent="0.2">
      <c r="D1418" s="1"/>
    </row>
    <row r="1421" spans="4:4" x14ac:dyDescent="0.2">
      <c r="D1421" s="1"/>
    </row>
    <row r="1422" spans="4:4" x14ac:dyDescent="0.2">
      <c r="D1422" s="1"/>
    </row>
    <row r="1423" spans="4:4" x14ac:dyDescent="0.2">
      <c r="D1423" s="1"/>
    </row>
    <row r="1425" spans="4:4" x14ac:dyDescent="0.2">
      <c r="D1425" s="1"/>
    </row>
    <row r="1432" spans="4:4" x14ac:dyDescent="0.2">
      <c r="D1432" s="1"/>
    </row>
    <row r="1438" spans="4:4" x14ac:dyDescent="0.2">
      <c r="D1438" s="1"/>
    </row>
    <row r="1446" spans="4:4" x14ac:dyDescent="0.2">
      <c r="D1446" s="1"/>
    </row>
    <row r="1451" spans="4:4" x14ac:dyDescent="0.2">
      <c r="D1451" s="1"/>
    </row>
    <row r="1452" spans="4:4" x14ac:dyDescent="0.2">
      <c r="D1452" s="1"/>
    </row>
    <row r="1460" spans="4:4" x14ac:dyDescent="0.2">
      <c r="D1460" s="1"/>
    </row>
    <row r="1461" spans="4:4" x14ac:dyDescent="0.2">
      <c r="D1461" s="1"/>
    </row>
    <row r="1463" spans="4:4" x14ac:dyDescent="0.2">
      <c r="D1463" s="1"/>
    </row>
    <row r="1464" spans="4:4" x14ac:dyDescent="0.2">
      <c r="D1464" s="1"/>
    </row>
    <row r="1465" spans="4:4" x14ac:dyDescent="0.2">
      <c r="D1465" s="1"/>
    </row>
    <row r="1467" spans="4:4" x14ac:dyDescent="0.2">
      <c r="D1467" s="1"/>
    </row>
    <row r="1469" spans="4:4" x14ac:dyDescent="0.2">
      <c r="D1469" s="1"/>
    </row>
    <row r="1470" spans="4:4" x14ac:dyDescent="0.2">
      <c r="D1470" s="1"/>
    </row>
    <row r="1471" spans="4:4" x14ac:dyDescent="0.2">
      <c r="D1471" s="1"/>
    </row>
    <row r="1472" spans="4:4" x14ac:dyDescent="0.2">
      <c r="D1472" s="1"/>
    </row>
    <row r="1473" spans="4:4" x14ac:dyDescent="0.2">
      <c r="D1473" s="1"/>
    </row>
    <row r="1474" spans="4:4" x14ac:dyDescent="0.2">
      <c r="D1474" s="1"/>
    </row>
    <row r="1476" spans="4:4" x14ac:dyDescent="0.2">
      <c r="D1476" s="1"/>
    </row>
    <row r="1477" spans="4:4" x14ac:dyDescent="0.2">
      <c r="D1477" s="1"/>
    </row>
    <row r="1479" spans="4:4" x14ac:dyDescent="0.2">
      <c r="D1479" s="1"/>
    </row>
    <row r="1480" spans="4:4" x14ac:dyDescent="0.2">
      <c r="D1480" s="1"/>
    </row>
    <row r="1481" spans="4:4" x14ac:dyDescent="0.2">
      <c r="D1481" s="1"/>
    </row>
    <row r="1482" spans="4:4" x14ac:dyDescent="0.2">
      <c r="D1482" s="1"/>
    </row>
    <row r="1483" spans="4:4" x14ac:dyDescent="0.2">
      <c r="D1483" s="1"/>
    </row>
    <row r="1484" spans="4:4" x14ac:dyDescent="0.2">
      <c r="D1484" s="1"/>
    </row>
    <row r="1485" spans="4:4" x14ac:dyDescent="0.2">
      <c r="D1485" s="1"/>
    </row>
    <row r="1486" spans="4:4" x14ac:dyDescent="0.2">
      <c r="D1486" s="1"/>
    </row>
    <row r="1487" spans="4:4" x14ac:dyDescent="0.2">
      <c r="D1487" s="1"/>
    </row>
    <row r="1488" spans="4:4" x14ac:dyDescent="0.2">
      <c r="D1488" s="1"/>
    </row>
    <row r="1489" spans="4:4" x14ac:dyDescent="0.2">
      <c r="D1489" s="1"/>
    </row>
    <row r="1490" spans="4:4" x14ac:dyDescent="0.2">
      <c r="D1490" s="1"/>
    </row>
    <row r="1491" spans="4:4" x14ac:dyDescent="0.2">
      <c r="D1491" s="1"/>
    </row>
    <row r="1492" spans="4:4" x14ac:dyDescent="0.2">
      <c r="D1492" s="1"/>
    </row>
    <row r="1493" spans="4:4" x14ac:dyDescent="0.2">
      <c r="D1493" s="1"/>
    </row>
    <row r="1494" spans="4:4" x14ac:dyDescent="0.2">
      <c r="D1494" s="1"/>
    </row>
    <row r="1495" spans="4:4" x14ac:dyDescent="0.2">
      <c r="D1495" s="1"/>
    </row>
    <row r="1496" spans="4:4" x14ac:dyDescent="0.2">
      <c r="D1496" s="1"/>
    </row>
    <row r="1497" spans="4:4" x14ac:dyDescent="0.2">
      <c r="D1497" s="1"/>
    </row>
    <row r="1498" spans="4:4" x14ac:dyDescent="0.2">
      <c r="D1498" s="1"/>
    </row>
    <row r="1499" spans="4:4" x14ac:dyDescent="0.2">
      <c r="D1499" s="1"/>
    </row>
    <row r="1500" spans="4:4" x14ac:dyDescent="0.2">
      <c r="D1500" s="1"/>
    </row>
    <row r="1501" spans="4:4" x14ac:dyDescent="0.2">
      <c r="D1501" s="1"/>
    </row>
    <row r="1502" spans="4:4" x14ac:dyDescent="0.2">
      <c r="D1502" s="1"/>
    </row>
    <row r="1503" spans="4:4" x14ac:dyDescent="0.2">
      <c r="D1503" s="1"/>
    </row>
    <row r="1504" spans="4:4" x14ac:dyDescent="0.2">
      <c r="D1504" s="1"/>
    </row>
    <row r="1505" spans="4:4" x14ac:dyDescent="0.2">
      <c r="D1505" s="1"/>
    </row>
    <row r="1506" spans="4:4" x14ac:dyDescent="0.2">
      <c r="D1506" s="1"/>
    </row>
    <row r="1507" spans="4:4" x14ac:dyDescent="0.2">
      <c r="D1507" s="1"/>
    </row>
    <row r="1508" spans="4:4" x14ac:dyDescent="0.2">
      <c r="D1508" s="1"/>
    </row>
    <row r="1509" spans="4:4" x14ac:dyDescent="0.2">
      <c r="D1509" s="1"/>
    </row>
    <row r="1510" spans="4:4" x14ac:dyDescent="0.2">
      <c r="D1510" s="1"/>
    </row>
    <row r="1511" spans="4:4" x14ac:dyDescent="0.2">
      <c r="D1511" s="1"/>
    </row>
    <row r="1512" spans="4:4" x14ac:dyDescent="0.2">
      <c r="D1512" s="1"/>
    </row>
    <row r="1513" spans="4:4" x14ac:dyDescent="0.2">
      <c r="D1513" s="1"/>
    </row>
    <row r="1514" spans="4:4" x14ac:dyDescent="0.2">
      <c r="D1514" s="1"/>
    </row>
    <row r="1515" spans="4:4" x14ac:dyDescent="0.2">
      <c r="D1515" s="1"/>
    </row>
    <row r="1516" spans="4:4" x14ac:dyDescent="0.2">
      <c r="D1516" s="1"/>
    </row>
    <row r="1517" spans="4:4" x14ac:dyDescent="0.2">
      <c r="D1517" s="1"/>
    </row>
    <row r="1518" spans="4:4" x14ac:dyDescent="0.2">
      <c r="D1518" s="1"/>
    </row>
    <row r="1519" spans="4:4" x14ac:dyDescent="0.2">
      <c r="D1519" s="1"/>
    </row>
    <row r="1520" spans="4:4" x14ac:dyDescent="0.2">
      <c r="D1520" s="1"/>
    </row>
    <row r="1521" spans="4:4" x14ac:dyDescent="0.2">
      <c r="D1521" s="1"/>
    </row>
    <row r="1522" spans="4:4" x14ac:dyDescent="0.2">
      <c r="D1522" s="1"/>
    </row>
    <row r="1523" spans="4:4" x14ac:dyDescent="0.2">
      <c r="D1523" s="1"/>
    </row>
    <row r="1524" spans="4:4" x14ac:dyDescent="0.2">
      <c r="D1524" s="1"/>
    </row>
    <row r="1525" spans="4:4" x14ac:dyDescent="0.2">
      <c r="D1525" s="1"/>
    </row>
    <row r="1526" spans="4:4" x14ac:dyDescent="0.2">
      <c r="D1526" s="1"/>
    </row>
    <row r="1527" spans="4:4" x14ac:dyDescent="0.2">
      <c r="D1527" s="1"/>
    </row>
    <row r="1528" spans="4:4" x14ac:dyDescent="0.2">
      <c r="D1528" s="1"/>
    </row>
    <row r="1529" spans="4:4" x14ac:dyDescent="0.2">
      <c r="D1529" s="1"/>
    </row>
    <row r="1530" spans="4:4" x14ac:dyDescent="0.2">
      <c r="D1530" s="1"/>
    </row>
    <row r="1531" spans="4:4" x14ac:dyDescent="0.2">
      <c r="D1531" s="1"/>
    </row>
    <row r="1532" spans="4:4" x14ac:dyDescent="0.2">
      <c r="D1532" s="1"/>
    </row>
    <row r="1533" spans="4:4" x14ac:dyDescent="0.2">
      <c r="D1533" s="1"/>
    </row>
    <row r="1534" spans="4:4" x14ac:dyDescent="0.2">
      <c r="D1534" s="1"/>
    </row>
    <row r="1535" spans="4:4" x14ac:dyDescent="0.2">
      <c r="D1535" s="1"/>
    </row>
    <row r="1536" spans="4:4" x14ac:dyDescent="0.2">
      <c r="D1536" s="1"/>
    </row>
    <row r="1537" spans="4:4" x14ac:dyDescent="0.2">
      <c r="D1537" s="1"/>
    </row>
    <row r="1538" spans="4:4" x14ac:dyDescent="0.2">
      <c r="D1538" s="1"/>
    </row>
    <row r="1539" spans="4:4" x14ac:dyDescent="0.2">
      <c r="D1539" s="1"/>
    </row>
    <row r="1540" spans="4:4" x14ac:dyDescent="0.2">
      <c r="D1540" s="1"/>
    </row>
    <row r="1541" spans="4:4" x14ac:dyDescent="0.2">
      <c r="D1541" s="1"/>
    </row>
    <row r="1542" spans="4:4" x14ac:dyDescent="0.2">
      <c r="D1542" s="1"/>
    </row>
    <row r="1543" spans="4:4" x14ac:dyDescent="0.2">
      <c r="D1543" s="1"/>
    </row>
    <row r="1544" spans="4:4" x14ac:dyDescent="0.2">
      <c r="D1544" s="1"/>
    </row>
    <row r="1545" spans="4:4" x14ac:dyDescent="0.2">
      <c r="D1545" s="1"/>
    </row>
    <row r="1546" spans="4:4" x14ac:dyDescent="0.2">
      <c r="D1546" s="1"/>
    </row>
    <row r="1547" spans="4:4" x14ac:dyDescent="0.2">
      <c r="D1547" s="1"/>
    </row>
    <row r="1548" spans="4:4" x14ac:dyDescent="0.2">
      <c r="D1548" s="1"/>
    </row>
    <row r="1549" spans="4:4" x14ac:dyDescent="0.2">
      <c r="D1549" s="1"/>
    </row>
    <row r="1550" spans="4:4" x14ac:dyDescent="0.2">
      <c r="D1550" s="1"/>
    </row>
    <row r="1551" spans="4:4" x14ac:dyDescent="0.2">
      <c r="D1551" s="1"/>
    </row>
    <row r="1552" spans="4:4" x14ac:dyDescent="0.2">
      <c r="D1552" s="1"/>
    </row>
    <row r="1553" spans="4:4" x14ac:dyDescent="0.2">
      <c r="D1553" s="1"/>
    </row>
    <row r="1554" spans="4:4" x14ac:dyDescent="0.2">
      <c r="D1554" s="1"/>
    </row>
    <row r="1555" spans="4:4" x14ac:dyDescent="0.2">
      <c r="D1555" s="1"/>
    </row>
    <row r="1556" spans="4:4" x14ac:dyDescent="0.2">
      <c r="D1556" s="1"/>
    </row>
    <row r="1557" spans="4:4" x14ac:dyDescent="0.2">
      <c r="D1557" s="1"/>
    </row>
    <row r="1558" spans="4:4" x14ac:dyDescent="0.2">
      <c r="D1558" s="1"/>
    </row>
    <row r="1559" spans="4:4" x14ac:dyDescent="0.2">
      <c r="D1559" s="1"/>
    </row>
    <row r="1560" spans="4:4" x14ac:dyDescent="0.2">
      <c r="D1560" s="1"/>
    </row>
    <row r="1561" spans="4:4" x14ac:dyDescent="0.2">
      <c r="D1561" s="1"/>
    </row>
    <row r="1562" spans="4:4" x14ac:dyDescent="0.2">
      <c r="D1562" s="1"/>
    </row>
    <row r="1563" spans="4:4" x14ac:dyDescent="0.2">
      <c r="D1563" s="1"/>
    </row>
    <row r="1564" spans="4:4" x14ac:dyDescent="0.2">
      <c r="D1564" s="1"/>
    </row>
    <row r="1565" spans="4:4" x14ac:dyDescent="0.2">
      <c r="D1565" s="1"/>
    </row>
    <row r="1566" spans="4:4" x14ac:dyDescent="0.2">
      <c r="D1566" s="1"/>
    </row>
    <row r="1567" spans="4:4" x14ac:dyDescent="0.2">
      <c r="D1567" s="1"/>
    </row>
    <row r="1568" spans="4:4" x14ac:dyDescent="0.2">
      <c r="D1568" s="1"/>
    </row>
    <row r="1569" spans="4:4" x14ac:dyDescent="0.2">
      <c r="D1569" s="1"/>
    </row>
    <row r="1570" spans="4:4" x14ac:dyDescent="0.2">
      <c r="D1570" s="1"/>
    </row>
    <row r="1571" spans="4:4" x14ac:dyDescent="0.2">
      <c r="D1571" s="1"/>
    </row>
    <row r="1572" spans="4:4" x14ac:dyDescent="0.2">
      <c r="D1572" s="1"/>
    </row>
    <row r="1573" spans="4:4" x14ac:dyDescent="0.2">
      <c r="D1573" s="1"/>
    </row>
    <row r="1574" spans="4:4" x14ac:dyDescent="0.2">
      <c r="D1574" s="1"/>
    </row>
    <row r="1575" spans="4:4" x14ac:dyDescent="0.2">
      <c r="D1575" s="1"/>
    </row>
    <row r="1576" spans="4:4" x14ac:dyDescent="0.2">
      <c r="D1576" s="1"/>
    </row>
    <row r="1577" spans="4:4" x14ac:dyDescent="0.2">
      <c r="D1577" s="1"/>
    </row>
    <row r="1578" spans="4:4" x14ac:dyDescent="0.2">
      <c r="D1578" s="1"/>
    </row>
    <row r="1579" spans="4:4" x14ac:dyDescent="0.2">
      <c r="D1579" s="1"/>
    </row>
    <row r="1580" spans="4:4" x14ac:dyDescent="0.2">
      <c r="D1580" s="1"/>
    </row>
    <row r="1581" spans="4:4" x14ac:dyDescent="0.2">
      <c r="D1581" s="1"/>
    </row>
    <row r="1582" spans="4:4" x14ac:dyDescent="0.2">
      <c r="D1582" s="1"/>
    </row>
    <row r="1583" spans="4:4" x14ac:dyDescent="0.2">
      <c r="D1583" s="1"/>
    </row>
    <row r="1584" spans="4:4" x14ac:dyDescent="0.2">
      <c r="D1584" s="1"/>
    </row>
    <row r="1585" spans="4:4" x14ac:dyDescent="0.2">
      <c r="D1585" s="1"/>
    </row>
    <row r="1586" spans="4:4" x14ac:dyDescent="0.2">
      <c r="D1586" s="1"/>
    </row>
    <row r="1587" spans="4:4" x14ac:dyDescent="0.2">
      <c r="D1587" s="1"/>
    </row>
    <row r="1588" spans="4:4" x14ac:dyDescent="0.2">
      <c r="D1588" s="1"/>
    </row>
    <row r="1589" spans="4:4" x14ac:dyDescent="0.2">
      <c r="D1589" s="1"/>
    </row>
    <row r="1590" spans="4:4" x14ac:dyDescent="0.2">
      <c r="D1590" s="1"/>
    </row>
    <row r="1591" spans="4:4" x14ac:dyDescent="0.2">
      <c r="D1591" s="1"/>
    </row>
    <row r="1592" spans="4:4" x14ac:dyDescent="0.2">
      <c r="D1592" s="1"/>
    </row>
    <row r="1593" spans="4:4" x14ac:dyDescent="0.2">
      <c r="D1593" s="1"/>
    </row>
    <row r="1594" spans="4:4" x14ac:dyDescent="0.2">
      <c r="D1594" s="1"/>
    </row>
    <row r="1595" spans="4:4" x14ac:dyDescent="0.2">
      <c r="D1595" s="1"/>
    </row>
    <row r="1596" spans="4:4" x14ac:dyDescent="0.2">
      <c r="D1596" s="1"/>
    </row>
    <row r="1597" spans="4:4" x14ac:dyDescent="0.2">
      <c r="D1597" s="1"/>
    </row>
    <row r="1598" spans="4:4" x14ac:dyDescent="0.2">
      <c r="D1598" s="1"/>
    </row>
    <row r="1599" spans="4:4" x14ac:dyDescent="0.2">
      <c r="D1599" s="1"/>
    </row>
    <row r="1600" spans="4:4" x14ac:dyDescent="0.2">
      <c r="D1600" s="1"/>
    </row>
    <row r="1601" spans="4:4" x14ac:dyDescent="0.2">
      <c r="D1601" s="1"/>
    </row>
    <row r="1602" spans="4:4" x14ac:dyDescent="0.2">
      <c r="D1602" s="1"/>
    </row>
    <row r="1603" spans="4:4" x14ac:dyDescent="0.2">
      <c r="D1603" s="1"/>
    </row>
    <row r="1604" spans="4:4" x14ac:dyDescent="0.2">
      <c r="D1604" s="1"/>
    </row>
    <row r="1605" spans="4:4" x14ac:dyDescent="0.2">
      <c r="D1605" s="1"/>
    </row>
    <row r="1606" spans="4:4" x14ac:dyDescent="0.2">
      <c r="D1606" s="1"/>
    </row>
    <row r="1610" spans="4:4" x14ac:dyDescent="0.2">
      <c r="D1610" s="1"/>
    </row>
    <row r="1611" spans="4:4" x14ac:dyDescent="0.2">
      <c r="D1611" s="1"/>
    </row>
    <row r="1612" spans="4:4" x14ac:dyDescent="0.2">
      <c r="D1612" s="1"/>
    </row>
    <row r="1613" spans="4:4" x14ac:dyDescent="0.2">
      <c r="D1613" s="1"/>
    </row>
    <row r="1614" spans="4:4" x14ac:dyDescent="0.2">
      <c r="D1614" s="1"/>
    </row>
    <row r="1615" spans="4:4" x14ac:dyDescent="0.2">
      <c r="D1615" s="1"/>
    </row>
    <row r="1616" spans="4:4" x14ac:dyDescent="0.2">
      <c r="D1616" s="1"/>
    </row>
    <row r="1617" spans="4:4" x14ac:dyDescent="0.2">
      <c r="D1617" s="1"/>
    </row>
    <row r="1618" spans="4:4" x14ac:dyDescent="0.2">
      <c r="D1618" s="1"/>
    </row>
    <row r="1619" spans="4:4" x14ac:dyDescent="0.2">
      <c r="D1619" s="1"/>
    </row>
    <row r="1620" spans="4:4" x14ac:dyDescent="0.2">
      <c r="D1620" s="1"/>
    </row>
    <row r="1621" spans="4:4" x14ac:dyDescent="0.2">
      <c r="D1621" s="1"/>
    </row>
    <row r="1622" spans="4:4" x14ac:dyDescent="0.2">
      <c r="D1622" s="1"/>
    </row>
    <row r="1623" spans="4:4" x14ac:dyDescent="0.2">
      <c r="D1623" s="1"/>
    </row>
    <row r="1624" spans="4:4" x14ac:dyDescent="0.2">
      <c r="D1624" s="1"/>
    </row>
    <row r="1625" spans="4:4" x14ac:dyDescent="0.2">
      <c r="D1625" s="1"/>
    </row>
    <row r="1626" spans="4:4" x14ac:dyDescent="0.2">
      <c r="D1626" s="1"/>
    </row>
    <row r="1627" spans="4:4" x14ac:dyDescent="0.2">
      <c r="D1627" s="1"/>
    </row>
    <row r="1628" spans="4:4" x14ac:dyDescent="0.2">
      <c r="D1628" s="1"/>
    </row>
    <row r="1629" spans="4:4" x14ac:dyDescent="0.2">
      <c r="D1629" s="1"/>
    </row>
    <row r="1630" spans="4:4" x14ac:dyDescent="0.2">
      <c r="D1630" s="1"/>
    </row>
    <row r="1631" spans="4:4" x14ac:dyDescent="0.2">
      <c r="D1631" s="1"/>
    </row>
    <row r="1632" spans="4:4" x14ac:dyDescent="0.2">
      <c r="D1632" s="1"/>
    </row>
    <row r="1633" spans="4:4" x14ac:dyDescent="0.2">
      <c r="D1633" s="1"/>
    </row>
    <row r="1634" spans="4:4" x14ac:dyDescent="0.2">
      <c r="D1634" s="1"/>
    </row>
    <row r="1635" spans="4:4" x14ac:dyDescent="0.2">
      <c r="D1635" s="1"/>
    </row>
    <row r="1636" spans="4:4" x14ac:dyDescent="0.2">
      <c r="D1636" s="1"/>
    </row>
    <row r="1637" spans="4:4" x14ac:dyDescent="0.2">
      <c r="D1637" s="1"/>
    </row>
    <row r="1638" spans="4:4" x14ac:dyDescent="0.2">
      <c r="D1638" s="1"/>
    </row>
    <row r="1639" spans="4:4" x14ac:dyDescent="0.2">
      <c r="D1639" s="1"/>
    </row>
    <row r="1640" spans="4:4" x14ac:dyDescent="0.2">
      <c r="D1640" s="1"/>
    </row>
    <row r="1641" spans="4:4" x14ac:dyDescent="0.2">
      <c r="D1641" s="1"/>
    </row>
    <row r="1642" spans="4:4" x14ac:dyDescent="0.2">
      <c r="D1642" s="1"/>
    </row>
    <row r="1643" spans="4:4" x14ac:dyDescent="0.2">
      <c r="D1643" s="1"/>
    </row>
    <row r="1644" spans="4:4" x14ac:dyDescent="0.2">
      <c r="D1644" s="1"/>
    </row>
    <row r="1645" spans="4:4" x14ac:dyDescent="0.2">
      <c r="D1645" s="1"/>
    </row>
    <row r="1646" spans="4:4" x14ac:dyDescent="0.2">
      <c r="D1646" s="1"/>
    </row>
    <row r="1647" spans="4:4" x14ac:dyDescent="0.2">
      <c r="D1647" s="1"/>
    </row>
    <row r="1648" spans="4:4" x14ac:dyDescent="0.2">
      <c r="D1648" s="1"/>
    </row>
    <row r="1649" spans="4:4" x14ac:dyDescent="0.2">
      <c r="D1649" s="1"/>
    </row>
    <row r="1650" spans="4:4" x14ac:dyDescent="0.2">
      <c r="D1650" s="1"/>
    </row>
    <row r="1651" spans="4:4" x14ac:dyDescent="0.2">
      <c r="D1651" s="1"/>
    </row>
    <row r="1652" spans="4:4" x14ac:dyDescent="0.2">
      <c r="D1652" s="1"/>
    </row>
    <row r="1653" spans="4:4" x14ac:dyDescent="0.2">
      <c r="D1653" s="1"/>
    </row>
    <row r="1654" spans="4:4" x14ac:dyDescent="0.2">
      <c r="D1654" s="1"/>
    </row>
    <row r="1655" spans="4:4" x14ac:dyDescent="0.2">
      <c r="D1655" s="1"/>
    </row>
    <row r="1656" spans="4:4" x14ac:dyDescent="0.2">
      <c r="D1656" s="1"/>
    </row>
    <row r="1657" spans="4:4" x14ac:dyDescent="0.2">
      <c r="D1657" s="1"/>
    </row>
    <row r="1658" spans="4:4" x14ac:dyDescent="0.2">
      <c r="D1658" s="1"/>
    </row>
    <row r="1659" spans="4:4" x14ac:dyDescent="0.2">
      <c r="D1659" s="1"/>
    </row>
    <row r="1660" spans="4:4" x14ac:dyDescent="0.2">
      <c r="D1660" s="1"/>
    </row>
    <row r="1661" spans="4:4" x14ac:dyDescent="0.2">
      <c r="D1661" s="1"/>
    </row>
    <row r="1662" spans="4:4" x14ac:dyDescent="0.2">
      <c r="D1662" s="1"/>
    </row>
    <row r="1663" spans="4:4" x14ac:dyDescent="0.2">
      <c r="D1663" s="1"/>
    </row>
    <row r="1664" spans="4:4" x14ac:dyDescent="0.2">
      <c r="D1664" s="1"/>
    </row>
    <row r="1665" spans="4:4" x14ac:dyDescent="0.2">
      <c r="D1665" s="1"/>
    </row>
    <row r="1666" spans="4:4" x14ac:dyDescent="0.2">
      <c r="D1666" s="1"/>
    </row>
    <row r="1667" spans="4:4" x14ac:dyDescent="0.2">
      <c r="D1667" s="1"/>
    </row>
    <row r="1668" spans="4:4" x14ac:dyDescent="0.2">
      <c r="D1668" s="1"/>
    </row>
    <row r="1669" spans="4:4" x14ac:dyDescent="0.2">
      <c r="D1669" s="1"/>
    </row>
    <row r="1670" spans="4:4" x14ac:dyDescent="0.2">
      <c r="D1670" s="1"/>
    </row>
    <row r="1671" spans="4:4" x14ac:dyDescent="0.2">
      <c r="D1671" s="1"/>
    </row>
    <row r="1672" spans="4:4" x14ac:dyDescent="0.2">
      <c r="D1672" s="1"/>
    </row>
    <row r="1673" spans="4:4" x14ac:dyDescent="0.2">
      <c r="D1673" s="1"/>
    </row>
    <row r="1674" spans="4:4" x14ac:dyDescent="0.2">
      <c r="D1674" s="1"/>
    </row>
    <row r="1675" spans="4:4" x14ac:dyDescent="0.2">
      <c r="D1675" s="1"/>
    </row>
    <row r="1676" spans="4:4" x14ac:dyDescent="0.2">
      <c r="D1676" s="1"/>
    </row>
    <row r="1677" spans="4:4" x14ac:dyDescent="0.2">
      <c r="D1677" s="1"/>
    </row>
    <row r="1678" spans="4:4" x14ac:dyDescent="0.2">
      <c r="D1678" s="1"/>
    </row>
    <row r="1679" spans="4:4" x14ac:dyDescent="0.2">
      <c r="D1679" s="1"/>
    </row>
    <row r="1680" spans="4:4" x14ac:dyDescent="0.2">
      <c r="D1680" s="1"/>
    </row>
    <row r="1681" spans="4:4" x14ac:dyDescent="0.2">
      <c r="D1681" s="1"/>
    </row>
    <row r="1682" spans="4:4" x14ac:dyDescent="0.2">
      <c r="D1682" s="1"/>
    </row>
    <row r="1683" spans="4:4" x14ac:dyDescent="0.2">
      <c r="D1683" s="1"/>
    </row>
    <row r="1684" spans="4:4" x14ac:dyDescent="0.2">
      <c r="D1684" s="1"/>
    </row>
    <row r="1685" spans="4:4" x14ac:dyDescent="0.2">
      <c r="D1685" s="1"/>
    </row>
    <row r="1686" spans="4:4" x14ac:dyDescent="0.2">
      <c r="D1686" s="1"/>
    </row>
    <row r="1687" spans="4:4" x14ac:dyDescent="0.2">
      <c r="D1687" s="1"/>
    </row>
    <row r="1688" spans="4:4" x14ac:dyDescent="0.2">
      <c r="D1688" s="1"/>
    </row>
    <row r="1689" spans="4:4" x14ac:dyDescent="0.2">
      <c r="D1689" s="1"/>
    </row>
    <row r="1690" spans="4:4" x14ac:dyDescent="0.2">
      <c r="D1690" s="1"/>
    </row>
    <row r="1691" spans="4:4" x14ac:dyDescent="0.2">
      <c r="D1691" s="1"/>
    </row>
    <row r="1692" spans="4:4" x14ac:dyDescent="0.2">
      <c r="D1692" s="1"/>
    </row>
    <row r="1693" spans="4:4" x14ac:dyDescent="0.2">
      <c r="D1693" s="1"/>
    </row>
    <row r="1694" spans="4:4" x14ac:dyDescent="0.2">
      <c r="D1694" s="1"/>
    </row>
    <row r="1695" spans="4:4" x14ac:dyDescent="0.2">
      <c r="D1695" s="1"/>
    </row>
    <row r="1696" spans="4:4" x14ac:dyDescent="0.2">
      <c r="D1696" s="1"/>
    </row>
    <row r="1697" spans="4:4" x14ac:dyDescent="0.2">
      <c r="D1697" s="1"/>
    </row>
    <row r="1698" spans="4:4" x14ac:dyDescent="0.2">
      <c r="D1698" s="1"/>
    </row>
    <row r="1699" spans="4:4" x14ac:dyDescent="0.2">
      <c r="D1699" s="1"/>
    </row>
    <row r="1700" spans="4:4" x14ac:dyDescent="0.2">
      <c r="D1700" s="1"/>
    </row>
    <row r="1701" spans="4:4" x14ac:dyDescent="0.2">
      <c r="D1701" s="1"/>
    </row>
    <row r="1702" spans="4:4" x14ac:dyDescent="0.2">
      <c r="D1702" s="1"/>
    </row>
    <row r="1703" spans="4:4" x14ac:dyDescent="0.2">
      <c r="D1703" s="1"/>
    </row>
    <row r="1704" spans="4:4" x14ac:dyDescent="0.2">
      <c r="D1704" s="1"/>
    </row>
    <row r="1705" spans="4:4" x14ac:dyDescent="0.2">
      <c r="D1705" s="1"/>
    </row>
    <row r="1706" spans="4:4" x14ac:dyDescent="0.2">
      <c r="D1706" s="1"/>
    </row>
    <row r="1707" spans="4:4" x14ac:dyDescent="0.2">
      <c r="D1707" s="1"/>
    </row>
    <row r="1708" spans="4:4" x14ac:dyDescent="0.2">
      <c r="D1708" s="1"/>
    </row>
    <row r="1709" spans="4:4" x14ac:dyDescent="0.2">
      <c r="D1709" s="1"/>
    </row>
    <row r="1710" spans="4:4" x14ac:dyDescent="0.2">
      <c r="D1710" s="1"/>
    </row>
    <row r="1711" spans="4:4" x14ac:dyDescent="0.2">
      <c r="D1711" s="1"/>
    </row>
    <row r="1712" spans="4:4" x14ac:dyDescent="0.2">
      <c r="D1712" s="1"/>
    </row>
    <row r="1713" spans="4:4" x14ac:dyDescent="0.2">
      <c r="D1713" s="1"/>
    </row>
    <row r="1714" spans="4:4" x14ac:dyDescent="0.2">
      <c r="D1714" s="1"/>
    </row>
    <row r="1715" spans="4:4" x14ac:dyDescent="0.2">
      <c r="D1715" s="1"/>
    </row>
    <row r="1716" spans="4:4" x14ac:dyDescent="0.2">
      <c r="D1716" s="1"/>
    </row>
    <row r="1717" spans="4:4" x14ac:dyDescent="0.2">
      <c r="D1717" s="1"/>
    </row>
    <row r="1718" spans="4:4" x14ac:dyDescent="0.2">
      <c r="D1718" s="1"/>
    </row>
    <row r="1719" spans="4:4" x14ac:dyDescent="0.2">
      <c r="D1719" s="1"/>
    </row>
    <row r="1720" spans="4:4" x14ac:dyDescent="0.2">
      <c r="D1720" s="1"/>
    </row>
    <row r="1721" spans="4:4" x14ac:dyDescent="0.2">
      <c r="D1721" s="1"/>
    </row>
    <row r="1722" spans="4:4" x14ac:dyDescent="0.2">
      <c r="D1722" s="1"/>
    </row>
    <row r="1723" spans="4:4" x14ac:dyDescent="0.2">
      <c r="D1723" s="1"/>
    </row>
    <row r="1724" spans="4:4" x14ac:dyDescent="0.2">
      <c r="D1724" s="1"/>
    </row>
    <row r="1725" spans="4:4" x14ac:dyDescent="0.2">
      <c r="D1725" s="1"/>
    </row>
    <row r="1726" spans="4:4" x14ac:dyDescent="0.2">
      <c r="D1726" s="1"/>
    </row>
    <row r="1727" spans="4:4" x14ac:dyDescent="0.2">
      <c r="D1727" s="1"/>
    </row>
    <row r="1728" spans="4:4" x14ac:dyDescent="0.2">
      <c r="D1728" s="1"/>
    </row>
    <row r="1729" spans="4:4" x14ac:dyDescent="0.2">
      <c r="D1729" s="1"/>
    </row>
    <row r="1730" spans="4:4" x14ac:dyDescent="0.2">
      <c r="D1730" s="1"/>
    </row>
    <row r="1731" spans="4:4" x14ac:dyDescent="0.2">
      <c r="D1731" s="1"/>
    </row>
    <row r="1732" spans="4:4" x14ac:dyDescent="0.2">
      <c r="D1732" s="1"/>
    </row>
    <row r="1733" spans="4:4" x14ac:dyDescent="0.2">
      <c r="D1733" s="1"/>
    </row>
    <row r="1734" spans="4:4" x14ac:dyDescent="0.2">
      <c r="D1734" s="1"/>
    </row>
    <row r="1735" spans="4:4" x14ac:dyDescent="0.2">
      <c r="D1735" s="1"/>
    </row>
    <row r="1737" spans="4:4" x14ac:dyDescent="0.2">
      <c r="D1737" s="1"/>
    </row>
    <row r="1738" spans="4:4" x14ac:dyDescent="0.2">
      <c r="D1738" s="1"/>
    </row>
    <row r="1739" spans="4:4" x14ac:dyDescent="0.2">
      <c r="D1739" s="1"/>
    </row>
    <row r="1740" spans="4:4" x14ac:dyDescent="0.2">
      <c r="D1740" s="1"/>
    </row>
    <row r="1741" spans="4:4" x14ac:dyDescent="0.2">
      <c r="D1741" s="1"/>
    </row>
    <row r="1742" spans="4:4" x14ac:dyDescent="0.2">
      <c r="D1742" s="1"/>
    </row>
    <row r="1743" spans="4:4" x14ac:dyDescent="0.2">
      <c r="D1743" s="1"/>
    </row>
    <row r="1744" spans="4:4" x14ac:dyDescent="0.2">
      <c r="D1744" s="1"/>
    </row>
    <row r="1745" spans="4:4" x14ac:dyDescent="0.2">
      <c r="D1745" s="1"/>
    </row>
    <row r="1746" spans="4:4" x14ac:dyDescent="0.2">
      <c r="D1746" s="1"/>
    </row>
    <row r="1747" spans="4:4" x14ac:dyDescent="0.2">
      <c r="D1747" s="1"/>
    </row>
    <row r="1748" spans="4:4" x14ac:dyDescent="0.2">
      <c r="D1748" s="1"/>
    </row>
    <row r="1749" spans="4:4" x14ac:dyDescent="0.2">
      <c r="D1749" s="1"/>
    </row>
    <row r="1750" spans="4:4" x14ac:dyDescent="0.2">
      <c r="D1750" s="1"/>
    </row>
    <row r="1752" spans="4:4" x14ac:dyDescent="0.2">
      <c r="D1752" s="1"/>
    </row>
    <row r="1753" spans="4:4" x14ac:dyDescent="0.2">
      <c r="D1753" s="1"/>
    </row>
    <row r="1754" spans="4:4" x14ac:dyDescent="0.2">
      <c r="D1754" s="1"/>
    </row>
    <row r="1755" spans="4:4" x14ac:dyDescent="0.2">
      <c r="D1755" s="1"/>
    </row>
    <row r="1756" spans="4:4" x14ac:dyDescent="0.2">
      <c r="D1756" s="1"/>
    </row>
    <row r="1757" spans="4:4" x14ac:dyDescent="0.2">
      <c r="D1757" s="1"/>
    </row>
    <row r="1758" spans="4:4" x14ac:dyDescent="0.2">
      <c r="D1758" s="1"/>
    </row>
    <row r="1759" spans="4:4" x14ac:dyDescent="0.2">
      <c r="D1759" s="1"/>
    </row>
    <row r="1760" spans="4:4" x14ac:dyDescent="0.2">
      <c r="D1760" s="1"/>
    </row>
    <row r="1761" spans="4:4" x14ac:dyDescent="0.2">
      <c r="D1761" s="1"/>
    </row>
    <row r="1762" spans="4:4" x14ac:dyDescent="0.2">
      <c r="D1762" s="1"/>
    </row>
    <row r="1764" spans="4:4" x14ac:dyDescent="0.2">
      <c r="D1764" s="1"/>
    </row>
    <row r="1765" spans="4:4" x14ac:dyDescent="0.2">
      <c r="D1765" s="1"/>
    </row>
    <row r="1766" spans="4:4" x14ac:dyDescent="0.2">
      <c r="D1766" s="1"/>
    </row>
    <row r="1767" spans="4:4" x14ac:dyDescent="0.2">
      <c r="D1767" s="1"/>
    </row>
    <row r="1768" spans="4:4" x14ac:dyDescent="0.2">
      <c r="D1768" s="1"/>
    </row>
    <row r="1769" spans="4:4" x14ac:dyDescent="0.2">
      <c r="D1769" s="1"/>
    </row>
    <row r="1771" spans="4:4" x14ac:dyDescent="0.2">
      <c r="D1771" s="1"/>
    </row>
    <row r="1772" spans="4:4" x14ac:dyDescent="0.2">
      <c r="D1772" s="1"/>
    </row>
    <row r="1773" spans="4:4" x14ac:dyDescent="0.2">
      <c r="D1773" s="1"/>
    </row>
    <row r="1774" spans="4:4" x14ac:dyDescent="0.2">
      <c r="D1774" s="1"/>
    </row>
    <row r="1775" spans="4:4" x14ac:dyDescent="0.2">
      <c r="D1775" s="1"/>
    </row>
    <row r="1776" spans="4:4" x14ac:dyDescent="0.2">
      <c r="D1776" s="1"/>
    </row>
    <row r="1778" spans="4:4" x14ac:dyDescent="0.2">
      <c r="D1778" s="1"/>
    </row>
    <row r="1779" spans="4:4" x14ac:dyDescent="0.2">
      <c r="D1779" s="1"/>
    </row>
    <row r="1781" spans="4:4" x14ac:dyDescent="0.2">
      <c r="D1781" s="1"/>
    </row>
    <row r="1784" spans="4:4" x14ac:dyDescent="0.2">
      <c r="D1784" s="1"/>
    </row>
    <row r="1785" spans="4:4" x14ac:dyDescent="0.2">
      <c r="D1785" s="1"/>
    </row>
    <row r="1786" spans="4:4" x14ac:dyDescent="0.2">
      <c r="D1786" s="1"/>
    </row>
    <row r="1787" spans="4:4" x14ac:dyDescent="0.2">
      <c r="D1787" s="1"/>
    </row>
    <row r="1788" spans="4:4" x14ac:dyDescent="0.2">
      <c r="D1788" s="1"/>
    </row>
    <row r="1789" spans="4:4" x14ac:dyDescent="0.2">
      <c r="D1789" s="1"/>
    </row>
    <row r="1790" spans="4:4" x14ac:dyDescent="0.2">
      <c r="D1790" s="1"/>
    </row>
    <row r="1793" spans="4:4" x14ac:dyDescent="0.2">
      <c r="D1793" s="1"/>
    </row>
    <row r="1794" spans="4:4" x14ac:dyDescent="0.2">
      <c r="D1794" s="1"/>
    </row>
    <row r="1795" spans="4:4" x14ac:dyDescent="0.2">
      <c r="D1795" s="1"/>
    </row>
    <row r="1796" spans="4:4" x14ac:dyDescent="0.2">
      <c r="D1796" s="1"/>
    </row>
    <row r="1798" spans="4:4" x14ac:dyDescent="0.2">
      <c r="D1798" s="1"/>
    </row>
    <row r="1799" spans="4:4" x14ac:dyDescent="0.2">
      <c r="D1799" s="1"/>
    </row>
    <row r="1800" spans="4:4" x14ac:dyDescent="0.2">
      <c r="D1800" s="1"/>
    </row>
    <row r="1801" spans="4:4" x14ac:dyDescent="0.2">
      <c r="D1801" s="1"/>
    </row>
    <row r="1802" spans="4:4" x14ac:dyDescent="0.2">
      <c r="D1802" s="1"/>
    </row>
    <row r="1803" spans="4:4" x14ac:dyDescent="0.2">
      <c r="D1803" s="1"/>
    </row>
    <row r="1804" spans="4:4" x14ac:dyDescent="0.2">
      <c r="D1804" s="1"/>
    </row>
    <row r="1805" spans="4:4" x14ac:dyDescent="0.2">
      <c r="D1805" s="1"/>
    </row>
    <row r="1806" spans="4:4" x14ac:dyDescent="0.2">
      <c r="D1806" s="1"/>
    </row>
    <row r="1807" spans="4:4" x14ac:dyDescent="0.2">
      <c r="D1807" s="1"/>
    </row>
    <row r="1827" spans="4:4" x14ac:dyDescent="0.2">
      <c r="D1827" s="1"/>
    </row>
    <row r="2030" spans="4:4" x14ac:dyDescent="0.2">
      <c r="D2030" s="1"/>
    </row>
    <row r="2033" spans="4:4" x14ac:dyDescent="0.2">
      <c r="D2033" s="1"/>
    </row>
    <row r="2034" spans="4:4" x14ac:dyDescent="0.2">
      <c r="D2034" s="1"/>
    </row>
    <row r="2037" spans="4:4" x14ac:dyDescent="0.2">
      <c r="D2037" s="1"/>
    </row>
    <row r="2041" spans="4:4" x14ac:dyDescent="0.2">
      <c r="D2041" s="1"/>
    </row>
    <row r="2045" spans="4:4" x14ac:dyDescent="0.2">
      <c r="D2045" s="1"/>
    </row>
    <row r="2049" spans="4:4" x14ac:dyDescent="0.2">
      <c r="D2049" s="1"/>
    </row>
    <row r="2051" spans="4:4" x14ac:dyDescent="0.2">
      <c r="D2051" s="1"/>
    </row>
    <row r="2055" spans="4:4" x14ac:dyDescent="0.2">
      <c r="D2055" s="1"/>
    </row>
    <row r="2056" spans="4:4" x14ac:dyDescent="0.2">
      <c r="D2056" s="1"/>
    </row>
    <row r="2057" spans="4:4" x14ac:dyDescent="0.2">
      <c r="D2057" s="1"/>
    </row>
    <row r="2059" spans="4:4" x14ac:dyDescent="0.2">
      <c r="D2059" s="1"/>
    </row>
    <row r="2060" spans="4:4" x14ac:dyDescent="0.2">
      <c r="D2060" s="1"/>
    </row>
    <row r="2061" spans="4:4" x14ac:dyDescent="0.2">
      <c r="D2061" s="1"/>
    </row>
    <row r="2062" spans="4:4" x14ac:dyDescent="0.2">
      <c r="D2062" s="1"/>
    </row>
    <row r="2063" spans="4:4" x14ac:dyDescent="0.2">
      <c r="D2063" s="1"/>
    </row>
    <row r="2066" spans="4:4" x14ac:dyDescent="0.2">
      <c r="D2066" s="1"/>
    </row>
    <row r="2067" spans="4:4" x14ac:dyDescent="0.2">
      <c r="D2067" s="1"/>
    </row>
    <row r="2068" spans="4:4" x14ac:dyDescent="0.2">
      <c r="D2068" s="1"/>
    </row>
    <row r="2069" spans="4:4" x14ac:dyDescent="0.2">
      <c r="D2069" s="1"/>
    </row>
    <row r="2070" spans="4:4" x14ac:dyDescent="0.2">
      <c r="D2070" s="1"/>
    </row>
    <row r="2071" spans="4:4" x14ac:dyDescent="0.2">
      <c r="D2071" s="1"/>
    </row>
    <row r="2072" spans="4:4" x14ac:dyDescent="0.2">
      <c r="D2072" s="1"/>
    </row>
    <row r="2073" spans="4:4" x14ac:dyDescent="0.2">
      <c r="D2073" s="1"/>
    </row>
    <row r="2074" spans="4:4" x14ac:dyDescent="0.2">
      <c r="D2074" s="1"/>
    </row>
    <row r="2075" spans="4:4" x14ac:dyDescent="0.2">
      <c r="D2075" s="1"/>
    </row>
    <row r="2076" spans="4:4" x14ac:dyDescent="0.2">
      <c r="D2076" s="1"/>
    </row>
    <row r="2077" spans="4:4" x14ac:dyDescent="0.2">
      <c r="D2077" s="1"/>
    </row>
    <row r="2078" spans="4:4" x14ac:dyDescent="0.2">
      <c r="D2078" s="1"/>
    </row>
    <row r="2079" spans="4:4" x14ac:dyDescent="0.2">
      <c r="D2079" s="1"/>
    </row>
    <row r="2080" spans="4:4" x14ac:dyDescent="0.2">
      <c r="D2080" s="1"/>
    </row>
    <row r="2081" spans="4:4" x14ac:dyDescent="0.2">
      <c r="D2081" s="1"/>
    </row>
    <row r="2082" spans="4:4" x14ac:dyDescent="0.2">
      <c r="D2082" s="1"/>
    </row>
    <row r="2083" spans="4:4" x14ac:dyDescent="0.2">
      <c r="D2083" s="1"/>
    </row>
    <row r="2085" spans="4:4" x14ac:dyDescent="0.2">
      <c r="D2085" s="1"/>
    </row>
    <row r="2086" spans="4:4" x14ac:dyDescent="0.2">
      <c r="D2086" s="1"/>
    </row>
    <row r="2087" spans="4:4" x14ac:dyDescent="0.2">
      <c r="D2087" s="1"/>
    </row>
    <row r="2088" spans="4:4" x14ac:dyDescent="0.2">
      <c r="D2088" s="1"/>
    </row>
    <row r="2089" spans="4:4" x14ac:dyDescent="0.2">
      <c r="D2089" s="1"/>
    </row>
    <row r="2090" spans="4:4" x14ac:dyDescent="0.2">
      <c r="D2090" s="1"/>
    </row>
    <row r="2091" spans="4:4" x14ac:dyDescent="0.2">
      <c r="D2091" s="1"/>
    </row>
    <row r="2092" spans="4:4" x14ac:dyDescent="0.2">
      <c r="D2092" s="1"/>
    </row>
    <row r="2093" spans="4:4" x14ac:dyDescent="0.2">
      <c r="D2093" s="1"/>
    </row>
    <row r="2094" spans="4:4" x14ac:dyDescent="0.2">
      <c r="D2094" s="1"/>
    </row>
    <row r="2095" spans="4:4" x14ac:dyDescent="0.2">
      <c r="D2095" s="1"/>
    </row>
    <row r="2096" spans="4:4" x14ac:dyDescent="0.2">
      <c r="D2096" s="1"/>
    </row>
    <row r="2098" spans="4:4" x14ac:dyDescent="0.2">
      <c r="D2098" s="1"/>
    </row>
    <row r="2099" spans="4:4" x14ac:dyDescent="0.2">
      <c r="D2099" s="1"/>
    </row>
    <row r="2100" spans="4:4" x14ac:dyDescent="0.2">
      <c r="D2100" s="1"/>
    </row>
    <row r="2101" spans="4:4" x14ac:dyDescent="0.2">
      <c r="D2101" s="1"/>
    </row>
    <row r="2103" spans="4:4" x14ac:dyDescent="0.2">
      <c r="D2103" s="1"/>
    </row>
    <row r="2104" spans="4:4" x14ac:dyDescent="0.2">
      <c r="D2104" s="1"/>
    </row>
    <row r="2106" spans="4:4" x14ac:dyDescent="0.2">
      <c r="D2106" s="1"/>
    </row>
    <row r="2107" spans="4:4" x14ac:dyDescent="0.2">
      <c r="D2107" s="1"/>
    </row>
    <row r="2108" spans="4:4" x14ac:dyDescent="0.2">
      <c r="D2108" s="1"/>
    </row>
    <row r="2109" spans="4:4" x14ac:dyDescent="0.2">
      <c r="D2109" s="1"/>
    </row>
    <row r="2110" spans="4:4" x14ac:dyDescent="0.2">
      <c r="D2110" s="1"/>
    </row>
    <row r="2113" spans="4:4" x14ac:dyDescent="0.2">
      <c r="D2113" s="1"/>
    </row>
    <row r="2114" spans="4:4" x14ac:dyDescent="0.2">
      <c r="D2114" s="1"/>
    </row>
    <row r="2115" spans="4:4" x14ac:dyDescent="0.2">
      <c r="D2115" s="1"/>
    </row>
    <row r="2116" spans="4:4" x14ac:dyDescent="0.2">
      <c r="D2116" s="1"/>
    </row>
    <row r="2117" spans="4:4" x14ac:dyDescent="0.2">
      <c r="D2117" s="1"/>
    </row>
    <row r="2118" spans="4:4" x14ac:dyDescent="0.2">
      <c r="D2118" s="1"/>
    </row>
    <row r="2119" spans="4:4" x14ac:dyDescent="0.2">
      <c r="D2119" s="1"/>
    </row>
    <row r="2120" spans="4:4" x14ac:dyDescent="0.2">
      <c r="D2120" s="1"/>
    </row>
    <row r="2121" spans="4:4" x14ac:dyDescent="0.2">
      <c r="D2121" s="1"/>
    </row>
    <row r="2122" spans="4:4" x14ac:dyDescent="0.2">
      <c r="D2122" s="1"/>
    </row>
    <row r="2123" spans="4:4" x14ac:dyDescent="0.2">
      <c r="D2123" s="1"/>
    </row>
    <row r="2124" spans="4:4" x14ac:dyDescent="0.2">
      <c r="D2124" s="1"/>
    </row>
    <row r="2125" spans="4:4" x14ac:dyDescent="0.2">
      <c r="D2125" s="1"/>
    </row>
    <row r="2126" spans="4:4" x14ac:dyDescent="0.2">
      <c r="D2126" s="1"/>
    </row>
    <row r="2127" spans="4:4" x14ac:dyDescent="0.2">
      <c r="D2127" s="1"/>
    </row>
    <row r="2128" spans="4:4" x14ac:dyDescent="0.2">
      <c r="D2128" s="1"/>
    </row>
    <row r="2129" spans="4:4" x14ac:dyDescent="0.2">
      <c r="D2129" s="1"/>
    </row>
    <row r="2130" spans="4:4" x14ac:dyDescent="0.2">
      <c r="D2130" s="1"/>
    </row>
    <row r="2131" spans="4:4" x14ac:dyDescent="0.2">
      <c r="D2131" s="1"/>
    </row>
    <row r="2133" spans="4:4" x14ac:dyDescent="0.2">
      <c r="D2133" s="1"/>
    </row>
    <row r="2134" spans="4:4" x14ac:dyDescent="0.2">
      <c r="D2134" s="1"/>
    </row>
    <row r="2135" spans="4:4" x14ac:dyDescent="0.2">
      <c r="D2135" s="1"/>
    </row>
    <row r="2136" spans="4:4" x14ac:dyDescent="0.2">
      <c r="D2136" s="1"/>
    </row>
    <row r="2137" spans="4:4" x14ac:dyDescent="0.2">
      <c r="D2137" s="1"/>
    </row>
    <row r="2138" spans="4:4" x14ac:dyDescent="0.2">
      <c r="D2138" s="1"/>
    </row>
    <row r="2139" spans="4:4" x14ac:dyDescent="0.2">
      <c r="D2139" s="1"/>
    </row>
    <row r="2140" spans="4:4" x14ac:dyDescent="0.2">
      <c r="D2140" s="1"/>
    </row>
    <row r="2141" spans="4:4" x14ac:dyDescent="0.2">
      <c r="D2141" s="1"/>
    </row>
    <row r="2142" spans="4:4" x14ac:dyDescent="0.2">
      <c r="D2142" s="1"/>
    </row>
    <row r="2143" spans="4:4" x14ac:dyDescent="0.2">
      <c r="D2143" s="1"/>
    </row>
    <row r="2144" spans="4:4" x14ac:dyDescent="0.2">
      <c r="D2144" s="1"/>
    </row>
    <row r="2145" spans="4:4" x14ac:dyDescent="0.2">
      <c r="D2145" s="1"/>
    </row>
    <row r="2146" spans="4:4" x14ac:dyDescent="0.2">
      <c r="D2146" s="1"/>
    </row>
    <row r="2147" spans="4:4" x14ac:dyDescent="0.2">
      <c r="D2147" s="1"/>
    </row>
    <row r="2148" spans="4:4" x14ac:dyDescent="0.2">
      <c r="D2148" s="1"/>
    </row>
    <row r="2149" spans="4:4" x14ac:dyDescent="0.2">
      <c r="D2149" s="1"/>
    </row>
    <row r="2150" spans="4:4" x14ac:dyDescent="0.2">
      <c r="D2150" s="1"/>
    </row>
    <row r="2151" spans="4:4" x14ac:dyDescent="0.2">
      <c r="D2151" s="1"/>
    </row>
    <row r="2152" spans="4:4" x14ac:dyDescent="0.2">
      <c r="D2152" s="1"/>
    </row>
    <row r="2153" spans="4:4" x14ac:dyDescent="0.2">
      <c r="D2153" s="1"/>
    </row>
    <row r="2154" spans="4:4" x14ac:dyDescent="0.2">
      <c r="D2154" s="1"/>
    </row>
    <row r="2155" spans="4:4" x14ac:dyDescent="0.2">
      <c r="D2155" s="1"/>
    </row>
    <row r="2156" spans="4:4" x14ac:dyDescent="0.2">
      <c r="D2156" s="1"/>
    </row>
    <row r="2157" spans="4:4" x14ac:dyDescent="0.2">
      <c r="D2157" s="1"/>
    </row>
    <row r="2158" spans="4:4" x14ac:dyDescent="0.2">
      <c r="D2158" s="1"/>
    </row>
    <row r="2159" spans="4:4" x14ac:dyDescent="0.2">
      <c r="D2159" s="1"/>
    </row>
    <row r="2160" spans="4:4" x14ac:dyDescent="0.2">
      <c r="D2160" s="1"/>
    </row>
    <row r="2161" spans="4:4" x14ac:dyDescent="0.2">
      <c r="D2161" s="1"/>
    </row>
    <row r="2162" spans="4:4" x14ac:dyDescent="0.2">
      <c r="D2162" s="1"/>
    </row>
    <row r="2163" spans="4:4" x14ac:dyDescent="0.2">
      <c r="D2163" s="1"/>
    </row>
    <row r="2164" spans="4:4" x14ac:dyDescent="0.2">
      <c r="D2164" s="1"/>
    </row>
    <row r="2165" spans="4:4" x14ac:dyDescent="0.2">
      <c r="D2165" s="1"/>
    </row>
    <row r="2166" spans="4:4" x14ac:dyDescent="0.2">
      <c r="D2166" s="1"/>
    </row>
    <row r="2167" spans="4:4" x14ac:dyDescent="0.2">
      <c r="D2167" s="1"/>
    </row>
    <row r="2168" spans="4:4" x14ac:dyDescent="0.2">
      <c r="D2168" s="1"/>
    </row>
    <row r="2169" spans="4:4" x14ac:dyDescent="0.2">
      <c r="D2169" s="1"/>
    </row>
    <row r="2170" spans="4:4" x14ac:dyDescent="0.2">
      <c r="D2170" s="1"/>
    </row>
    <row r="2171" spans="4:4" x14ac:dyDescent="0.2">
      <c r="D2171" s="1"/>
    </row>
    <row r="2172" spans="4:4" x14ac:dyDescent="0.2">
      <c r="D2172" s="1"/>
    </row>
    <row r="2173" spans="4:4" x14ac:dyDescent="0.2">
      <c r="D2173" s="1"/>
    </row>
    <row r="2174" spans="4:4" x14ac:dyDescent="0.2">
      <c r="D2174" s="1"/>
    </row>
    <row r="2175" spans="4:4" x14ac:dyDescent="0.2">
      <c r="D2175" s="1"/>
    </row>
    <row r="2176" spans="4:4" x14ac:dyDescent="0.2">
      <c r="D2176" s="1"/>
    </row>
    <row r="2177" spans="4:4" x14ac:dyDescent="0.2">
      <c r="D2177" s="1"/>
    </row>
    <row r="2178" spans="4:4" x14ac:dyDescent="0.2">
      <c r="D2178" s="1"/>
    </row>
    <row r="2179" spans="4:4" x14ac:dyDescent="0.2">
      <c r="D2179" s="1"/>
    </row>
    <row r="2180" spans="4:4" x14ac:dyDescent="0.2">
      <c r="D2180" s="1"/>
    </row>
    <row r="2181" spans="4:4" x14ac:dyDescent="0.2">
      <c r="D2181" s="1"/>
    </row>
    <row r="2182" spans="4:4" x14ac:dyDescent="0.2">
      <c r="D2182" s="1"/>
    </row>
    <row r="2183" spans="4:4" x14ac:dyDescent="0.2">
      <c r="D2183" s="1"/>
    </row>
    <row r="2184" spans="4:4" x14ac:dyDescent="0.2">
      <c r="D2184" s="1"/>
    </row>
    <row r="2185" spans="4:4" x14ac:dyDescent="0.2">
      <c r="D2185" s="1"/>
    </row>
    <row r="2186" spans="4:4" x14ac:dyDescent="0.2">
      <c r="D2186" s="1"/>
    </row>
    <row r="2187" spans="4:4" x14ac:dyDescent="0.2">
      <c r="D2187" s="1"/>
    </row>
    <row r="2188" spans="4:4" x14ac:dyDescent="0.2">
      <c r="D2188" s="1"/>
    </row>
    <row r="2189" spans="4:4" x14ac:dyDescent="0.2">
      <c r="D2189" s="1"/>
    </row>
    <row r="2190" spans="4:4" x14ac:dyDescent="0.2">
      <c r="D2190" s="1"/>
    </row>
    <row r="2191" spans="4:4" x14ac:dyDescent="0.2">
      <c r="D2191" s="1"/>
    </row>
    <row r="2192" spans="4:4" x14ac:dyDescent="0.2">
      <c r="D2192" s="1"/>
    </row>
    <row r="2193" spans="4:4" x14ac:dyDescent="0.2">
      <c r="D2193" s="1"/>
    </row>
    <row r="2194" spans="4:4" x14ac:dyDescent="0.2">
      <c r="D2194" s="1"/>
    </row>
    <row r="2195" spans="4:4" x14ac:dyDescent="0.2">
      <c r="D2195" s="1"/>
    </row>
    <row r="2196" spans="4:4" x14ac:dyDescent="0.2">
      <c r="D2196" s="1"/>
    </row>
    <row r="2197" spans="4:4" x14ac:dyDescent="0.2">
      <c r="D2197" s="1"/>
    </row>
    <row r="2198" spans="4:4" x14ac:dyDescent="0.2">
      <c r="D2198" s="1"/>
    </row>
    <row r="2199" spans="4:4" x14ac:dyDescent="0.2">
      <c r="D2199" s="1"/>
    </row>
    <row r="2200" spans="4:4" x14ac:dyDescent="0.2">
      <c r="D2200" s="1"/>
    </row>
    <row r="2201" spans="4:4" x14ac:dyDescent="0.2">
      <c r="D2201" s="1"/>
    </row>
    <row r="2202" spans="4:4" x14ac:dyDescent="0.2">
      <c r="D2202" s="1"/>
    </row>
    <row r="2203" spans="4:4" x14ac:dyDescent="0.2">
      <c r="D2203" s="1"/>
    </row>
    <row r="2204" spans="4:4" x14ac:dyDescent="0.2">
      <c r="D2204" s="1"/>
    </row>
    <row r="2205" spans="4:4" x14ac:dyDescent="0.2">
      <c r="D2205" s="1"/>
    </row>
    <row r="2206" spans="4:4" x14ac:dyDescent="0.2">
      <c r="D2206" s="1"/>
    </row>
    <row r="2207" spans="4:4" x14ac:dyDescent="0.2">
      <c r="D2207" s="1"/>
    </row>
    <row r="2208" spans="4:4" x14ac:dyDescent="0.2">
      <c r="D2208" s="1"/>
    </row>
    <row r="2209" spans="4:4" x14ac:dyDescent="0.2">
      <c r="D2209" s="1"/>
    </row>
    <row r="2210" spans="4:4" x14ac:dyDescent="0.2">
      <c r="D2210" s="1"/>
    </row>
    <row r="2211" spans="4:4" x14ac:dyDescent="0.2">
      <c r="D2211" s="1"/>
    </row>
    <row r="2212" spans="4:4" x14ac:dyDescent="0.2">
      <c r="D2212" s="1"/>
    </row>
    <row r="2213" spans="4:4" x14ac:dyDescent="0.2">
      <c r="D2213" s="1"/>
    </row>
    <row r="2214" spans="4:4" x14ac:dyDescent="0.2">
      <c r="D2214" s="1"/>
    </row>
    <row r="2215" spans="4:4" x14ac:dyDescent="0.2">
      <c r="D2215" s="1"/>
    </row>
    <row r="2216" spans="4:4" x14ac:dyDescent="0.2">
      <c r="D2216" s="1"/>
    </row>
    <row r="2217" spans="4:4" x14ac:dyDescent="0.2">
      <c r="D2217" s="1"/>
    </row>
    <row r="2218" spans="4:4" x14ac:dyDescent="0.2">
      <c r="D2218" s="1"/>
    </row>
    <row r="2219" spans="4:4" x14ac:dyDescent="0.2">
      <c r="D2219" s="1"/>
    </row>
    <row r="2220" spans="4:4" x14ac:dyDescent="0.2">
      <c r="D2220" s="1"/>
    </row>
    <row r="2221" spans="4:4" x14ac:dyDescent="0.2">
      <c r="D2221" s="1"/>
    </row>
    <row r="2222" spans="4:4" x14ac:dyDescent="0.2">
      <c r="D2222" s="1"/>
    </row>
    <row r="2223" spans="4:4" x14ac:dyDescent="0.2">
      <c r="D2223" s="1"/>
    </row>
    <row r="2224" spans="4:4" x14ac:dyDescent="0.2">
      <c r="D2224" s="1"/>
    </row>
    <row r="2225" spans="4:4" x14ac:dyDescent="0.2">
      <c r="D2225" s="1"/>
    </row>
    <row r="2226" spans="4:4" x14ac:dyDescent="0.2">
      <c r="D2226" s="1"/>
    </row>
    <row r="2227" spans="4:4" x14ac:dyDescent="0.2">
      <c r="D2227" s="1"/>
    </row>
    <row r="2228" spans="4:4" x14ac:dyDescent="0.2">
      <c r="D2228" s="1"/>
    </row>
    <row r="2229" spans="4:4" x14ac:dyDescent="0.2">
      <c r="D2229" s="1"/>
    </row>
    <row r="2230" spans="4:4" x14ac:dyDescent="0.2">
      <c r="D2230" s="1"/>
    </row>
    <row r="2231" spans="4:4" x14ac:dyDescent="0.2">
      <c r="D2231" s="1"/>
    </row>
    <row r="2232" spans="4:4" x14ac:dyDescent="0.2">
      <c r="D2232" s="1"/>
    </row>
    <row r="2233" spans="4:4" x14ac:dyDescent="0.2">
      <c r="D2233" s="1"/>
    </row>
    <row r="2234" spans="4:4" x14ac:dyDescent="0.2">
      <c r="D2234" s="1"/>
    </row>
    <row r="2235" spans="4:4" x14ac:dyDescent="0.2">
      <c r="D2235" s="1"/>
    </row>
    <row r="2236" spans="4:4" x14ac:dyDescent="0.2">
      <c r="D2236" s="1"/>
    </row>
    <row r="2237" spans="4:4" x14ac:dyDescent="0.2">
      <c r="D2237" s="1"/>
    </row>
    <row r="2238" spans="4:4" x14ac:dyDescent="0.2">
      <c r="D2238" s="1"/>
    </row>
    <row r="2239" spans="4:4" x14ac:dyDescent="0.2">
      <c r="D2239" s="1"/>
    </row>
    <row r="2240" spans="4:4" x14ac:dyDescent="0.2">
      <c r="D2240" s="1"/>
    </row>
    <row r="2241" spans="4:4" x14ac:dyDescent="0.2">
      <c r="D2241" s="1"/>
    </row>
    <row r="2242" spans="4:4" x14ac:dyDescent="0.2">
      <c r="D2242" s="1"/>
    </row>
    <row r="2243" spans="4:4" x14ac:dyDescent="0.2">
      <c r="D2243" s="1"/>
    </row>
    <row r="2244" spans="4:4" x14ac:dyDescent="0.2">
      <c r="D2244" s="1"/>
    </row>
    <row r="2245" spans="4:4" x14ac:dyDescent="0.2">
      <c r="D2245" s="1"/>
    </row>
    <row r="2246" spans="4:4" x14ac:dyDescent="0.2">
      <c r="D2246" s="1"/>
    </row>
    <row r="2247" spans="4:4" x14ac:dyDescent="0.2">
      <c r="D2247" s="1"/>
    </row>
    <row r="2248" spans="4:4" x14ac:dyDescent="0.2">
      <c r="D2248" s="1"/>
    </row>
    <row r="2249" spans="4:4" x14ac:dyDescent="0.2">
      <c r="D2249" s="1"/>
    </row>
    <row r="2250" spans="4:4" x14ac:dyDescent="0.2">
      <c r="D2250" s="1"/>
    </row>
    <row r="2251" spans="4:4" x14ac:dyDescent="0.2">
      <c r="D2251" s="1"/>
    </row>
    <row r="2252" spans="4:4" x14ac:dyDescent="0.2">
      <c r="D2252" s="1"/>
    </row>
    <row r="2253" spans="4:4" x14ac:dyDescent="0.2">
      <c r="D2253" s="1"/>
    </row>
    <row r="2254" spans="4:4" x14ac:dyDescent="0.2">
      <c r="D2254" s="1"/>
    </row>
    <row r="2255" spans="4:4" x14ac:dyDescent="0.2">
      <c r="D2255" s="1"/>
    </row>
    <row r="2256" spans="4:4" x14ac:dyDescent="0.2">
      <c r="D2256" s="1"/>
    </row>
    <row r="2257" spans="4:4" x14ac:dyDescent="0.2">
      <c r="D2257" s="1"/>
    </row>
    <row r="2258" spans="4:4" x14ac:dyDescent="0.2">
      <c r="D2258" s="1"/>
    </row>
    <row r="2259" spans="4:4" x14ac:dyDescent="0.2">
      <c r="D2259" s="1"/>
    </row>
    <row r="2260" spans="4:4" x14ac:dyDescent="0.2">
      <c r="D2260" s="1"/>
    </row>
    <row r="2261" spans="4:4" x14ac:dyDescent="0.2">
      <c r="D2261" s="1"/>
    </row>
    <row r="2262" spans="4:4" x14ac:dyDescent="0.2">
      <c r="D2262" s="1"/>
    </row>
    <row r="2263" spans="4:4" x14ac:dyDescent="0.2">
      <c r="D2263" s="1"/>
    </row>
    <row r="2264" spans="4:4" x14ac:dyDescent="0.2">
      <c r="D2264" s="1"/>
    </row>
    <row r="2265" spans="4:4" x14ac:dyDescent="0.2">
      <c r="D2265" s="1"/>
    </row>
    <row r="2266" spans="4:4" x14ac:dyDescent="0.2">
      <c r="D2266" s="1"/>
    </row>
    <row r="2267" spans="4:4" x14ac:dyDescent="0.2">
      <c r="D2267" s="1"/>
    </row>
    <row r="2268" spans="4:4" x14ac:dyDescent="0.2">
      <c r="D2268" s="1"/>
    </row>
    <row r="2269" spans="4:4" x14ac:dyDescent="0.2">
      <c r="D2269" s="1"/>
    </row>
    <row r="2270" spans="4:4" x14ac:dyDescent="0.2">
      <c r="D2270" s="1"/>
    </row>
    <row r="2271" spans="4:4" x14ac:dyDescent="0.2">
      <c r="D2271" s="1"/>
    </row>
    <row r="2272" spans="4:4" x14ac:dyDescent="0.2">
      <c r="D2272" s="1"/>
    </row>
    <row r="2273" spans="4:4" x14ac:dyDescent="0.2">
      <c r="D2273" s="1"/>
    </row>
    <row r="2274" spans="4:4" x14ac:dyDescent="0.2">
      <c r="D2274" s="1"/>
    </row>
    <row r="2275" spans="4:4" x14ac:dyDescent="0.2">
      <c r="D2275" s="1"/>
    </row>
    <row r="2276" spans="4:4" x14ac:dyDescent="0.2">
      <c r="D2276" s="1"/>
    </row>
    <row r="2277" spans="4:4" x14ac:dyDescent="0.2">
      <c r="D2277" s="1"/>
    </row>
    <row r="2278" spans="4:4" x14ac:dyDescent="0.2">
      <c r="D2278" s="1"/>
    </row>
    <row r="2279" spans="4:4" x14ac:dyDescent="0.2">
      <c r="D2279" s="1"/>
    </row>
    <row r="2280" spans="4:4" x14ac:dyDescent="0.2">
      <c r="D2280" s="1"/>
    </row>
    <row r="2281" spans="4:4" x14ac:dyDescent="0.2">
      <c r="D2281" s="1"/>
    </row>
    <row r="2282" spans="4:4" x14ac:dyDescent="0.2">
      <c r="D2282" s="1"/>
    </row>
    <row r="2283" spans="4:4" x14ac:dyDescent="0.2">
      <c r="D2283" s="1"/>
    </row>
    <row r="2284" spans="4:4" x14ac:dyDescent="0.2">
      <c r="D2284" s="1"/>
    </row>
    <row r="2285" spans="4:4" x14ac:dyDescent="0.2">
      <c r="D2285" s="1"/>
    </row>
    <row r="2286" spans="4:4" x14ac:dyDescent="0.2">
      <c r="D2286" s="1"/>
    </row>
    <row r="2287" spans="4:4" x14ac:dyDescent="0.2">
      <c r="D2287" s="1"/>
    </row>
    <row r="2288" spans="4:4" x14ac:dyDescent="0.2">
      <c r="D2288" s="1"/>
    </row>
    <row r="2289" spans="4:4" x14ac:dyDescent="0.2">
      <c r="D2289" s="1"/>
    </row>
    <row r="2290" spans="4:4" x14ac:dyDescent="0.2">
      <c r="D2290" s="1"/>
    </row>
    <row r="2291" spans="4:4" x14ac:dyDescent="0.2">
      <c r="D2291" s="1"/>
    </row>
    <row r="2292" spans="4:4" x14ac:dyDescent="0.2">
      <c r="D2292" s="1"/>
    </row>
    <row r="2293" spans="4:4" x14ac:dyDescent="0.2">
      <c r="D2293" s="1"/>
    </row>
    <row r="2294" spans="4:4" x14ac:dyDescent="0.2">
      <c r="D2294" s="1"/>
    </row>
    <row r="2295" spans="4:4" x14ac:dyDescent="0.2">
      <c r="D2295" s="1"/>
    </row>
    <row r="2296" spans="4:4" x14ac:dyDescent="0.2">
      <c r="D2296" s="1"/>
    </row>
    <row r="2297" spans="4:4" x14ac:dyDescent="0.2">
      <c r="D2297" s="1"/>
    </row>
    <row r="2298" spans="4:4" x14ac:dyDescent="0.2">
      <c r="D2298" s="1"/>
    </row>
    <row r="2299" spans="4:4" x14ac:dyDescent="0.2">
      <c r="D2299" s="1"/>
    </row>
    <row r="2300" spans="4:4" x14ac:dyDescent="0.2">
      <c r="D2300" s="1"/>
    </row>
    <row r="2301" spans="4:4" x14ac:dyDescent="0.2">
      <c r="D2301" s="1"/>
    </row>
    <row r="2302" spans="4:4" x14ac:dyDescent="0.2">
      <c r="D2302" s="1"/>
    </row>
    <row r="2303" spans="4:4" x14ac:dyDescent="0.2">
      <c r="D2303" s="1"/>
    </row>
    <row r="2304" spans="4:4" x14ac:dyDescent="0.2">
      <c r="D2304" s="1"/>
    </row>
    <row r="2305" spans="4:4" x14ac:dyDescent="0.2">
      <c r="D2305" s="1"/>
    </row>
    <row r="2306" spans="4:4" x14ac:dyDescent="0.2">
      <c r="D2306" s="1"/>
    </row>
    <row r="2307" spans="4:4" x14ac:dyDescent="0.2">
      <c r="D2307" s="1"/>
    </row>
    <row r="2308" spans="4:4" x14ac:dyDescent="0.2">
      <c r="D2308" s="1"/>
    </row>
    <row r="2309" spans="4:4" x14ac:dyDescent="0.2">
      <c r="D2309" s="1"/>
    </row>
    <row r="2310" spans="4:4" x14ac:dyDescent="0.2">
      <c r="D2310" s="1"/>
    </row>
    <row r="2311" spans="4:4" x14ac:dyDescent="0.2">
      <c r="D2311" s="1"/>
    </row>
    <row r="2312" spans="4:4" x14ac:dyDescent="0.2">
      <c r="D2312" s="1"/>
    </row>
    <row r="2313" spans="4:4" x14ac:dyDescent="0.2">
      <c r="D2313" s="1"/>
    </row>
    <row r="2314" spans="4:4" x14ac:dyDescent="0.2">
      <c r="D2314" s="1"/>
    </row>
    <row r="2315" spans="4:4" x14ac:dyDescent="0.2">
      <c r="D2315" s="1"/>
    </row>
    <row r="2316" spans="4:4" x14ac:dyDescent="0.2">
      <c r="D2316" s="1"/>
    </row>
    <row r="2317" spans="4:4" x14ac:dyDescent="0.2">
      <c r="D2317" s="1"/>
    </row>
    <row r="2318" spans="4:4" x14ac:dyDescent="0.2">
      <c r="D2318" s="1"/>
    </row>
    <row r="2319" spans="4:4" x14ac:dyDescent="0.2">
      <c r="D2319" s="1"/>
    </row>
    <row r="2320" spans="4:4" x14ac:dyDescent="0.2">
      <c r="D2320" s="1"/>
    </row>
    <row r="2321" spans="4:4" x14ac:dyDescent="0.2">
      <c r="D2321" s="1"/>
    </row>
    <row r="2322" spans="4:4" x14ac:dyDescent="0.2">
      <c r="D2322" s="1"/>
    </row>
    <row r="2323" spans="4:4" x14ac:dyDescent="0.2">
      <c r="D2323" s="1"/>
    </row>
    <row r="2324" spans="4:4" x14ac:dyDescent="0.2">
      <c r="D2324" s="1"/>
    </row>
    <row r="2325" spans="4:4" x14ac:dyDescent="0.2">
      <c r="D2325" s="1"/>
    </row>
    <row r="2326" spans="4:4" x14ac:dyDescent="0.2">
      <c r="D2326" s="1"/>
    </row>
    <row r="2327" spans="4:4" x14ac:dyDescent="0.2">
      <c r="D2327" s="1"/>
    </row>
    <row r="2328" spans="4:4" x14ac:dyDescent="0.2">
      <c r="D2328" s="1"/>
    </row>
    <row r="2329" spans="4:4" x14ac:dyDescent="0.2">
      <c r="D2329" s="1"/>
    </row>
    <row r="2330" spans="4:4" x14ac:dyDescent="0.2">
      <c r="D2330" s="1"/>
    </row>
    <row r="2331" spans="4:4" x14ac:dyDescent="0.2">
      <c r="D2331" s="1"/>
    </row>
    <row r="2332" spans="4:4" x14ac:dyDescent="0.2">
      <c r="D2332" s="1"/>
    </row>
    <row r="2333" spans="4:4" x14ac:dyDescent="0.2">
      <c r="D2333" s="1"/>
    </row>
    <row r="2334" spans="4:4" x14ac:dyDescent="0.2">
      <c r="D2334" s="1"/>
    </row>
    <row r="2335" spans="4:4" x14ac:dyDescent="0.2">
      <c r="D2335" s="1"/>
    </row>
    <row r="2336" spans="4:4" x14ac:dyDescent="0.2">
      <c r="D2336" s="1"/>
    </row>
    <row r="2337" spans="4:4" x14ac:dyDescent="0.2">
      <c r="D2337" s="1"/>
    </row>
    <row r="2338" spans="4:4" x14ac:dyDescent="0.2">
      <c r="D2338" s="1"/>
    </row>
    <row r="2339" spans="4:4" x14ac:dyDescent="0.2">
      <c r="D2339" s="1"/>
    </row>
    <row r="2340" spans="4:4" x14ac:dyDescent="0.2">
      <c r="D2340" s="1"/>
    </row>
    <row r="2341" spans="4:4" x14ac:dyDescent="0.2">
      <c r="D2341" s="1"/>
    </row>
    <row r="2342" spans="4:4" x14ac:dyDescent="0.2">
      <c r="D2342" s="1"/>
    </row>
    <row r="2343" spans="4:4" x14ac:dyDescent="0.2">
      <c r="D2343" s="1"/>
    </row>
    <row r="2344" spans="4:4" x14ac:dyDescent="0.2">
      <c r="D2344" s="1"/>
    </row>
    <row r="2345" spans="4:4" x14ac:dyDescent="0.2">
      <c r="D2345" s="1"/>
    </row>
    <row r="2346" spans="4:4" x14ac:dyDescent="0.2">
      <c r="D2346" s="1"/>
    </row>
    <row r="2347" spans="4:4" x14ac:dyDescent="0.2">
      <c r="D2347" s="1"/>
    </row>
    <row r="2348" spans="4:4" x14ac:dyDescent="0.2">
      <c r="D2348" s="1"/>
    </row>
    <row r="2349" spans="4:4" x14ac:dyDescent="0.2">
      <c r="D2349" s="1"/>
    </row>
    <row r="2350" spans="4:4" x14ac:dyDescent="0.2">
      <c r="D2350" s="1"/>
    </row>
    <row r="2351" spans="4:4" x14ac:dyDescent="0.2">
      <c r="D2351" s="1"/>
    </row>
    <row r="2352" spans="4:4" x14ac:dyDescent="0.2">
      <c r="D2352" s="1"/>
    </row>
    <row r="2353" spans="4:4" x14ac:dyDescent="0.2">
      <c r="D2353" s="1"/>
    </row>
    <row r="2354" spans="4:4" x14ac:dyDescent="0.2">
      <c r="D2354" s="1"/>
    </row>
    <row r="2355" spans="4:4" x14ac:dyDescent="0.2">
      <c r="D2355" s="1"/>
    </row>
    <row r="2356" spans="4:4" x14ac:dyDescent="0.2">
      <c r="D2356" s="1"/>
    </row>
    <row r="2357" spans="4:4" x14ac:dyDescent="0.2">
      <c r="D2357" s="1"/>
    </row>
    <row r="2358" spans="4:4" x14ac:dyDescent="0.2">
      <c r="D2358" s="1"/>
    </row>
    <row r="2359" spans="4:4" x14ac:dyDescent="0.2">
      <c r="D2359" s="1"/>
    </row>
    <row r="2360" spans="4:4" x14ac:dyDescent="0.2">
      <c r="D2360" s="1"/>
    </row>
    <row r="2361" spans="4:4" x14ac:dyDescent="0.2">
      <c r="D2361" s="1"/>
    </row>
    <row r="2362" spans="4:4" x14ac:dyDescent="0.2">
      <c r="D2362" s="1"/>
    </row>
    <row r="2363" spans="4:4" x14ac:dyDescent="0.2">
      <c r="D2363" s="1"/>
    </row>
    <row r="2364" spans="4:4" x14ac:dyDescent="0.2">
      <c r="D2364" s="1"/>
    </row>
    <row r="2365" spans="4:4" x14ac:dyDescent="0.2">
      <c r="D2365" s="1"/>
    </row>
    <row r="2366" spans="4:4" x14ac:dyDescent="0.2">
      <c r="D2366" s="1"/>
    </row>
    <row r="2367" spans="4:4" x14ac:dyDescent="0.2">
      <c r="D2367" s="1"/>
    </row>
    <row r="2368" spans="4:4" x14ac:dyDescent="0.2">
      <c r="D2368" s="1"/>
    </row>
    <row r="2369" spans="4:4" x14ac:dyDescent="0.2">
      <c r="D2369" s="1"/>
    </row>
    <row r="2370" spans="4:4" x14ac:dyDescent="0.2">
      <c r="D2370" s="1"/>
    </row>
    <row r="2371" spans="4:4" x14ac:dyDescent="0.2">
      <c r="D2371" s="1"/>
    </row>
    <row r="2372" spans="4:4" x14ac:dyDescent="0.2">
      <c r="D2372" s="1"/>
    </row>
    <row r="2373" spans="4:4" x14ac:dyDescent="0.2">
      <c r="D2373" s="1"/>
    </row>
    <row r="2374" spans="4:4" x14ac:dyDescent="0.2">
      <c r="D2374" s="1"/>
    </row>
    <row r="2375" spans="4:4" x14ac:dyDescent="0.2">
      <c r="D2375" s="1"/>
    </row>
    <row r="2376" spans="4:4" x14ac:dyDescent="0.2">
      <c r="D2376" s="1"/>
    </row>
    <row r="2377" spans="4:4" x14ac:dyDescent="0.2">
      <c r="D2377" s="1"/>
    </row>
    <row r="2378" spans="4:4" x14ac:dyDescent="0.2">
      <c r="D2378" s="1"/>
    </row>
    <row r="2379" spans="4:4" x14ac:dyDescent="0.2">
      <c r="D2379" s="1"/>
    </row>
    <row r="2380" spans="4:4" x14ac:dyDescent="0.2">
      <c r="D2380" s="1"/>
    </row>
    <row r="2381" spans="4:4" x14ac:dyDescent="0.2">
      <c r="D2381" s="1"/>
    </row>
    <row r="2383" spans="4:4" x14ac:dyDescent="0.2">
      <c r="D2383" s="1"/>
    </row>
    <row r="2384" spans="4:4" x14ac:dyDescent="0.2">
      <c r="D2384" s="1"/>
    </row>
    <row r="2385" spans="4:4" x14ac:dyDescent="0.2">
      <c r="D2385" s="1"/>
    </row>
    <row r="2386" spans="4:4" x14ac:dyDescent="0.2">
      <c r="D2386" s="1"/>
    </row>
    <row r="2387" spans="4:4" x14ac:dyDescent="0.2">
      <c r="D2387" s="1"/>
    </row>
    <row r="2389" spans="4:4" x14ac:dyDescent="0.2">
      <c r="D2389" s="1"/>
    </row>
    <row r="2391" spans="4:4" x14ac:dyDescent="0.2">
      <c r="D2391" s="1"/>
    </row>
    <row r="2393" spans="4:4" x14ac:dyDescent="0.2">
      <c r="D2393" s="1"/>
    </row>
    <row r="2394" spans="4:4" x14ac:dyDescent="0.2">
      <c r="D2394" s="1"/>
    </row>
    <row r="2396" spans="4:4" x14ac:dyDescent="0.2">
      <c r="D2396" s="1"/>
    </row>
    <row r="2397" spans="4:4" x14ac:dyDescent="0.2">
      <c r="D2397" s="1"/>
    </row>
    <row r="2403" spans="4:4" x14ac:dyDescent="0.2">
      <c r="D2403" s="1"/>
    </row>
    <row r="2405" spans="4:4" x14ac:dyDescent="0.2">
      <c r="D2405" s="1"/>
    </row>
    <row r="2407" spans="4:4" x14ac:dyDescent="0.2">
      <c r="D2407" s="1"/>
    </row>
    <row r="2411" spans="4:4" x14ac:dyDescent="0.2">
      <c r="D2411" s="1"/>
    </row>
    <row r="2428" spans="4:4" x14ac:dyDescent="0.2">
      <c r="D2428" s="1"/>
    </row>
    <row r="2431" spans="4:4" x14ac:dyDescent="0.2">
      <c r="D2431" s="1"/>
    </row>
    <row r="2447" spans="4:4" x14ac:dyDescent="0.2">
      <c r="D2447" s="1"/>
    </row>
  </sheetData>
  <mergeCells count="2">
    <mergeCell ref="A7:D7"/>
    <mergeCell ref="F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 info summary</vt:lpstr>
      <vt:lpstr>Glass Substrate</vt:lpstr>
      <vt:lpstr>#1</vt:lpstr>
      <vt:lpstr>#2</vt:lpstr>
      <vt:lpstr>#3</vt:lpstr>
      <vt:lpstr>#4</vt:lpstr>
      <vt:lpstr>#5</vt:lpstr>
      <vt:lpstr>#6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Scott, Ellie Frances</dc:creator>
  <cp:lastModifiedBy>Jamin Pillars</cp:lastModifiedBy>
  <dcterms:created xsi:type="dcterms:W3CDTF">2025-10-07T16:59:44Z</dcterms:created>
  <dcterms:modified xsi:type="dcterms:W3CDTF">2025-10-15T22:23:43Z</dcterms:modified>
</cp:coreProperties>
</file>